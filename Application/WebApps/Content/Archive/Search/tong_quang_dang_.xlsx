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autoCompressPictures="0" defaultThemeVersion="164011"/>
  <bookViews>
    <workbookView xWindow="555" yWindow="555" windowWidth="19440" windowHeight="11040" activeTab="8"/>
  </bookViews>
  <sheets>
    <sheet name="SC-ATT online" sheetId="3" r:id="rId1"/>
    <sheet name="Giai đoạn 1" sheetId="1" r:id="rId2"/>
    <sheet name="Giai đoạn 1-Convert dữ liệu" sheetId="7" state="hidden" r:id="rId3"/>
    <sheet name="Giai đoạn1-ATT" sheetId="5" state="hidden" r:id="rId4"/>
    <sheet name="Giai đoạn1-ATZ" sheetId="6" state="hidden" r:id="rId5"/>
    <sheet name="Giai đoạn 2" sheetId="2" state="hidden" r:id="rId6"/>
    <sheet name="Giai đoạn 2 (1-4)" sheetId="8" r:id="rId7"/>
    <sheet name="Chức năng GD1&amp;2" sheetId="10" r:id="rId8"/>
    <sheet name="CHECK GD1&amp; yêu cầu GĐ2" sheetId="11" r:id="rId9"/>
    <sheet name="Giai đoạn 3" sheetId="4" state="hidden" r:id="rId10"/>
    <sheet name="DSNS" sheetId="9" state="hidden" r:id="rId11"/>
  </sheets>
  <definedNames>
    <definedName name="_xlnm._FilterDatabase" localSheetId="1" hidden="1">'Giai đoạn 1'!$A$3:$L$109</definedName>
    <definedName name="_xlnm._FilterDatabase" localSheetId="5" hidden="1">'Giai đoạn 2'!$A$2:$I$20</definedName>
    <definedName name="_xlnm._FilterDatabase" localSheetId="6" hidden="1">'Giai đoạn 2 (1-4)'!$A$2:$I$38</definedName>
    <definedName name="_xlnm._FilterDatabase" localSheetId="9" hidden="1">'Giai đoạn 3'!$A$2:$I$3</definedName>
    <definedName name="_xlnm._FilterDatabase" localSheetId="3" hidden="1">'Giai đoạn1-ATT'!$A$3:$I$106</definedName>
    <definedName name="_xlnm._FilterDatabase" localSheetId="4" hidden="1">'Giai đoạn1-ATZ'!$A$3:$I$106</definedName>
  </definedNames>
  <calcPr calcId="162913"/>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J19" i="11" l="1"/>
  <c r="J17" i="11"/>
  <c r="J18" i="11" s="1"/>
  <c r="A12" i="8" l="1"/>
  <c r="A13" i="8" s="1"/>
  <c r="A14" i="8" l="1"/>
  <c r="A16" i="8" s="1"/>
  <c r="A17" i="8" s="1"/>
  <c r="A18" i="8" s="1"/>
  <c r="A19" i="8" s="1"/>
  <c r="A88" i="6" l="1"/>
  <c r="A89" i="6" s="1"/>
  <c r="A90" i="6" s="1"/>
  <c r="A92" i="6" s="1"/>
  <c r="A93" i="6" s="1"/>
  <c r="A94" i="6" s="1"/>
  <c r="A95" i="6" s="1"/>
  <c r="A98" i="6" s="1"/>
  <c r="A99" i="6" s="1"/>
  <c r="A102" i="6" s="1"/>
  <c r="A103" i="6" s="1"/>
  <c r="A104" i="6" s="1"/>
  <c r="A105" i="6" s="1"/>
  <c r="A106" i="6" s="1"/>
  <c r="A88" i="5"/>
  <c r="A89" i="5" s="1"/>
  <c r="A90" i="5" s="1"/>
  <c r="A92" i="5" s="1"/>
  <c r="A93" i="5" s="1"/>
  <c r="A94" i="5" s="1"/>
  <c r="A95" i="5" s="1"/>
  <c r="A98" i="5" s="1"/>
  <c r="A99" i="5" s="1"/>
  <c r="A102" i="5" s="1"/>
  <c r="A103" i="5" s="1"/>
  <c r="A104" i="5" s="1"/>
  <c r="A105" i="5" s="1"/>
  <c r="A106" i="5" s="1"/>
  <c r="A4" i="2" l="1"/>
  <c r="A5" i="2" s="1"/>
  <c r="A6" i="2" s="1"/>
  <c r="A7" i="2" s="1"/>
  <c r="A8" i="2" s="1"/>
  <c r="A9" i="2" s="1"/>
  <c r="A11" i="2" s="1"/>
  <c r="A12" i="2" s="1"/>
  <c r="A13" i="2" s="1"/>
  <c r="A14" i="2" s="1"/>
  <c r="A15" i="2" s="1"/>
  <c r="A16" i="2" s="1"/>
  <c r="A17" i="2" s="1"/>
  <c r="A18" i="2" s="1"/>
  <c r="A19" i="2" s="1"/>
  <c r="A20" i="2" s="1"/>
  <c r="A21" i="2" s="1"/>
  <c r="A22" i="2" s="1"/>
  <c r="A89" i="1" l="1"/>
  <c r="A90" i="1" s="1"/>
  <c r="A91" i="1" s="1"/>
  <c r="A93" i="1" s="1"/>
  <c r="A94" i="1" s="1"/>
  <c r="A95" i="1" s="1"/>
  <c r="A96" i="1" s="1"/>
  <c r="A99" i="1" s="1"/>
  <c r="A100" i="1" s="1"/>
  <c r="A103" i="1" s="1"/>
  <c r="A104" i="1" s="1"/>
  <c r="A105" i="1" s="1"/>
  <c r="A106" i="1" s="1"/>
  <c r="A107" i="1" s="1"/>
  <c r="A24" i="8"/>
  <c r="A26" i="8" s="1"/>
  <c r="A27" i="8" l="1"/>
  <c r="A28" i="8" s="1"/>
  <c r="A29" i="8" l="1"/>
  <c r="A30" i="8" s="1"/>
  <c r="A31" i="8" s="1"/>
  <c r="A32" i="8" s="1"/>
  <c r="A33" i="8" s="1"/>
  <c r="A34" i="8" s="1"/>
  <c r="A36" i="8" s="1"/>
  <c r="A38" i="8" s="1"/>
</calcChain>
</file>

<file path=xl/sharedStrings.xml><?xml version="1.0" encoding="utf-8"?>
<sst xmlns="http://schemas.openxmlformats.org/spreadsheetml/2006/main" count="1698" uniqueCount="459">
  <si>
    <t>Phân hệ</t>
  </si>
  <si>
    <t>Quản trị</t>
  </si>
  <si>
    <t>Quản lý người dùng</t>
  </si>
  <si>
    <t>Quản lý công việc</t>
  </si>
  <si>
    <t>Quản lý lịch Shipment</t>
  </si>
  <si>
    <t>Danh mục</t>
  </si>
  <si>
    <t>Nhà cung cấp</t>
  </si>
  <si>
    <t>Hãng tàu</t>
  </si>
  <si>
    <t>Tỉnh/Huyện</t>
  </si>
  <si>
    <t>Khách hàng</t>
  </si>
  <si>
    <t>Cảng</t>
  </si>
  <si>
    <t>Hàng hóa</t>
  </si>
  <si>
    <t>PO</t>
  </si>
  <si>
    <t>Hợp đồng</t>
  </si>
  <si>
    <t>Shipment</t>
  </si>
  <si>
    <t>Order</t>
  </si>
  <si>
    <t>Quản lý kho</t>
  </si>
  <si>
    <t>Nhập kho</t>
  </si>
  <si>
    <t>Xuất kho</t>
  </si>
  <si>
    <t>Tra cứu tồn kho</t>
  </si>
  <si>
    <t>Tạo / duyệt /  hủy</t>
  </si>
  <si>
    <t>Dashboard</t>
  </si>
  <si>
    <t>Management</t>
  </si>
  <si>
    <t>Employee</t>
  </si>
  <si>
    <t>Sơ đồ supply chain</t>
  </si>
  <si>
    <t>Thông tin lô hàng</t>
  </si>
  <si>
    <t>Thông tin kế toán</t>
  </si>
  <si>
    <t>Thông tin logistic</t>
  </si>
  <si>
    <t>Bán hàng tại cảng</t>
  </si>
  <si>
    <t>Lệnh điều xe</t>
  </si>
  <si>
    <t>Notification</t>
  </si>
  <si>
    <t>Chuyển kho</t>
  </si>
  <si>
    <t>Quản lý hiệu quả đơn hàng</t>
  </si>
  <si>
    <t>Phân quyền</t>
  </si>
  <si>
    <t>Login/Logout/Quên mật khẩu</t>
  </si>
  <si>
    <t>Duyệt Giá hàng giao xa</t>
  </si>
  <si>
    <t>Duyệt Giá hàng giao ngay</t>
  </si>
  <si>
    <t>Thêm/sửa/xóa</t>
  </si>
  <si>
    <t>App Mobile</t>
  </si>
  <si>
    <t>Login/Logout</t>
  </si>
  <si>
    <t>Nhận thông tin thông báo</t>
  </si>
  <si>
    <t>Chuyển kho (Xem/duyệt thông tin)</t>
  </si>
  <si>
    <t>Tra cứu tồn kho  (Xem/duyệt thông tin)</t>
  </si>
  <si>
    <t>Nhập kho (Xem/duyệt thông tin)</t>
  </si>
  <si>
    <t>Xuất kho (Xem/duyệt thông tin)</t>
  </si>
  <si>
    <t>Logictis (Xem/duyệt thông tin)</t>
  </si>
  <si>
    <t>Shipment (Xem/duyệt thông tin)</t>
  </si>
  <si>
    <t>Hợp đồng (Xem/duyệt thông tin)</t>
  </si>
  <si>
    <t>PO (Xem/duyệt thông tin)</t>
  </si>
  <si>
    <t>Danh sách chức năng mốc 15/1</t>
  </si>
  <si>
    <t>Quản lý container</t>
  </si>
  <si>
    <t>Cảnh báo</t>
  </si>
  <si>
    <t>Quản lý công việc phát sinh (yêu cầu mới ngày 26/12/2018)</t>
  </si>
  <si>
    <t>Quản lý thông báo (phân quyền theo dõi/xử lý/duyệt từng phân hệ tới NSD trong hệ thống)</t>
  </si>
  <si>
    <t>Kết nối với Bravo</t>
  </si>
  <si>
    <t>Định mức chi phí</t>
  </si>
  <si>
    <t>Kho chung: Input KH sx các công ty thành viên trong TĐ</t>
  </si>
  <si>
    <t>Kịch bản tối ưu mua, bán, logistics, TCKT</t>
  </si>
  <si>
    <t>Dữ liệu giá lịch sử, dự báo thị trường</t>
  </si>
  <si>
    <t>App mobile: hướng đến đối tượng khách hàng</t>
  </si>
  <si>
    <t>Xây dựng giá vốn thời điểm</t>
  </si>
  <si>
    <t>STT</t>
  </si>
  <si>
    <t xml:space="preserve"> Chức năng</t>
  </si>
  <si>
    <t>Tinh chỉnh hệ thống sau golive</t>
  </si>
  <si>
    <t>Danh sách chức năng giai đoạn 2 (1/4)</t>
  </si>
  <si>
    <t>Chỉnh sửa nếu có phát sinh bất cập, vướng mắc khi vận hành</t>
  </si>
  <si>
    <t>- Input kế hoạch nguyên vật liệu các cty thành viên cần
- ATT lập KH mua
- Theo dõi thực hiện KH mua
- Chuyển kho nội bộ TĐ/Bán ra ngoài</t>
  </si>
  <si>
    <t>Link dữ liệu nhập kho, xuất kho</t>
  </si>
  <si>
    <t>- Áp định mức đã duyệt; theo dõi, đánh giá thực hiện so với định mức
- Bóc tách theo từng trường hợp nhập hàng, từng trường hợp bán</t>
  </si>
  <si>
    <t>- Nhập và lưu trữ lịch sử giá
- Dự báo dựa trên lịch sử giá, dựa trên cả xu hướng thị trường, biến động, chuyển dịch cơ cấu ngành.</t>
  </si>
  <si>
    <t>Khách hàng cũng dùng app để theo dõi tiến độ nhận hàng/nhắc thanh toán</t>
  </si>
  <si>
    <t>Chi tiết</t>
  </si>
  <si>
    <t>Hạn hoàn thành</t>
  </si>
  <si>
    <t>Mr Đáng</t>
  </si>
  <si>
    <t>Xây dựng lịch test</t>
  </si>
  <si>
    <t>Group Test</t>
  </si>
  <si>
    <t>Phân công 1 nhân sự theo dõi SC xuyên suốt</t>
  </si>
  <si>
    <t>Nhập số liệu thực hiện tại của ATT online vào SC</t>
  </si>
  <si>
    <t>Ms Bích</t>
  </si>
  <si>
    <t>View, đánh giá theo số liệu thực đã chuyển từ ATT vào SC trên</t>
  </si>
  <si>
    <t>Test</t>
  </si>
  <si>
    <t>ATT, ATZ, Navisoft</t>
  </si>
  <si>
    <t>Golive</t>
  </si>
  <si>
    <t>Công việc</t>
  </si>
  <si>
    <t>Bộ phận thực hiện</t>
  </si>
  <si>
    <t>Hoàn thiện hết 100% phần bán hàng theo lịch Test và Golive.
Lưu ý hệ thống khách hàng, kho bãi khách hàng</t>
  </si>
  <si>
    <t>Bộ phận được báo cáo</t>
  </si>
  <si>
    <t>Mr Long TGĐ ATT</t>
  </si>
  <si>
    <t>Chạy thử trên đơn hàng 1 shipment thật theo các kịch bản: VND, CIF, xe ... - HT 7/1/2019</t>
  </si>
  <si>
    <t xml:space="preserve">ATT, ATZ, Navisoft </t>
  </si>
  <si>
    <t>NỘI DUNG KHÁC</t>
  </si>
  <si>
    <t>Giao diện thể hiện: Chọn kho Thực hay kho Ảo hoặc cả 2</t>
  </si>
  <si>
    <t>Bổ sung chức năng Tìm kiếm Shipment theo 1 trong các tiêu chí sau:
+ Số tờ khai
+ Số cont
+ Mã đơn hàng (mã order bán hàng)
+ Số hợp đồng (PO mua hàng)</t>
  </si>
  <si>
    <t>Mr Kim Anh</t>
  </si>
  <si>
    <t>Báo cáo</t>
  </si>
  <si>
    <t>Xây dựng form tìm kiếm Thông tin phục vụ bán hàng thể hiện gồm những thông tin gì (file excel): Mã/Tên hạt/Tồn đầu kỳ... (gồm công thức tính cụ thể).
Form thể hiện làm 2 giao diện: tại Cảng và tại Kho.</t>
  </si>
  <si>
    <t>Fomart BC bán hàng</t>
  </si>
  <si>
    <t>Update form lên phần mềm</t>
  </si>
  <si>
    <t>http://117.6.87.229:5353</t>
  </si>
  <si>
    <t>Báo cáo mua hàng</t>
  </si>
  <si>
    <t>Báo cáo bán hàng</t>
  </si>
  <si>
    <t>Báo cáo logistics</t>
  </si>
  <si>
    <t>Báo cáo TCKT</t>
  </si>
  <si>
    <t>- 28/12/2018
- 15/1/2019</t>
  </si>
  <si>
    <t>- Mr Tú, Ms Hạnh
- Mr Đáng</t>
  </si>
  <si>
    <t>Bổ sung nhắc ngày 28 hàng tháng update số lượng tồn kho tối thiểu cho từng mã hàng cho tháng kế tiếp (nếu có thay đổi)</t>
  </si>
  <si>
    <t>Nhật ký hành động của ngày họp</t>
  </si>
  <si>
    <t>Tiến độ</t>
  </si>
  <si>
    <t>Đã hoàn thành</t>
  </si>
  <si>
    <t>Giai đoạn 2</t>
  </si>
  <si>
    <t>28/12/2019 - Mr Tú chủ trì</t>
  </si>
  <si>
    <t>28/12/2018 - Mr Tú chủ trì</t>
  </si>
  <si>
    <t>26/12/2018 - Mr Long chủ trì</t>
  </si>
  <si>
    <t>- 26/12/2018-Mr Long chủ trì
- 28/12/2018-Mr Tú chủ trì</t>
  </si>
  <si>
    <t>Quy trình từ bước lên kế hoạch giao hàng đến bước kéo hàng như sau:
1. Khi hàng cập cảng, Sale lên kế hoạch giao hàng. Hệ thống tự động gửi thông tin cho ATZ.
2. ATZ tạo lệnh điều xe dựa trên kế hoạch giao hàng của sale.
3. ATZ download lệnh điều xe và biên bản giao hàng trên hệ thống gửi lại cho lái xe.
4. Khi bắt đầu kéo hàng từ cảng, lái xe cập nhật trạng thái bắt đầu kéo trên App Mobile.
5. Khi đã kéo hàng xong, lái xe cập nhật trạng thái đã kéo xong trên App Mobile. Hệ thống cho phép lái xe upload ảnh Containers, biên bản giao hàng.
6. Kết thúc qui trình giao hàng.</t>
  </si>
  <si>
    <t>Kết luận của buổi họp</t>
  </si>
  <si>
    <t>Diễn giải/Quy trình</t>
  </si>
  <si>
    <t>1. Trên màn hình tạo kế hoạch giao hàng, hệ thống hiển thị 2 button: Book xe và Gửi kế toán duyệt.
2. Khi Sale Admin bấm Book xe, hệ thống sẽ gửi thông báo cho ATZ. ATZ cần thông báo lại có nhận yêu cầu giao hàng đó không (thông báo trực tiếp trên hệ thống ATT).
3. Hệ thống sẽ tự động gửi lại phản hồi của ATZ cho sale.
4. Trong trường hợp ATZ từ chối yêu cầu giao hàng, hệ thống cho phép Sale thay đổi lại thông tin kế hoạch giao hàng và gửi lại yêu cầu Book xe cho ATZ.
5. Khi Sale Admin bấm Gửi kế toán duyệt, hệ thống gửi thông báo yêu cầu kế toán duyệt =&gt; Luồng duyệt kế hoạch giao hàng sẽ giữ nguyên như hiện tại.</t>
  </si>
  <si>
    <t>Mr Long ATZ</t>
  </si>
  <si>
    <t>1. ATZ gửi thông tin về biểu phí đi từ cảng tới các tỉnh/huyện bằng xe tải và xe cont, có đánh dấu có mất phí đường cấm hay không ?</t>
  </si>
  <si>
    <t>Bộ phận được báo cáo/nhận thông tin</t>
  </si>
  <si>
    <t>Ms Kim Anh</t>
  </si>
  <si>
    <t>27/12/2018 - Mr Tú chủ trì</t>
  </si>
  <si>
    <t>Chức năng</t>
  </si>
  <si>
    <t>ATT online</t>
  </si>
  <si>
    <t>Lệnh kéo</t>
  </si>
  <si>
    <t>Logistics</t>
  </si>
  <si>
    <t>Kho chung</t>
  </si>
  <si>
    <t>Timeline, Deadline</t>
  </si>
  <si>
    <t>x</t>
  </si>
  <si>
    <t>Nội dung</t>
  </si>
  <si>
    <t>Export từ Bravo và import từ file excel để update tồn kho hàng ngày:
- Gửi mẫu file xuất excel từ Bravo
- Import vào SC</t>
  </si>
  <si>
    <t xml:space="preserve">
2/1
15/1</t>
  </si>
  <si>
    <t>Chức năng duyệt</t>
  </si>
  <si>
    <t>Hoàn thành</t>
  </si>
  <si>
    <t>Đang thực hiện</t>
  </si>
  <si>
    <t>Tạo PO</t>
  </si>
  <si>
    <t>Navisoft</t>
  </si>
  <si>
    <t>ATT</t>
  </si>
  <si>
    <t>ATT gửi list và các trường hợp đồng công thức</t>
  </si>
  <si>
    <t>Sửa PO</t>
  </si>
  <si>
    <t>Xóa PO</t>
  </si>
  <si>
    <t>Duyệt PO</t>
  </si>
  <si>
    <t>Cảnh báo thời hạn thanh toán</t>
  </si>
  <si>
    <t>- Hiện tại thời hạn thanh toán đang fix 2 ngày để nhắc lịch. 
- Nhu cầu của ATT: thời hạn thanh toán cho thay đổi từng hợp đồng, từng shipment. Số lần nhắc lịch theo hình thức thanh toán và số đợt thanh toán được quy định trong shipment/hợp đồng</t>
  </si>
  <si>
    <t>- Thêm nút copy PO
- Đối với hợp đồng công thức:
+ không chọn vùng miền
+ khi tạo PO chỉ chuyển phòng mua duyệt
+ Thêm nút "Hợp đồng công thức"
+ Thêm trường "Số hợp đồng"</t>
  </si>
  <si>
    <t>Thêm trường "Phương án kinh doanh"</t>
  </si>
  <si>
    <t>Tiện ích</t>
  </si>
  <si>
    <t>- Thêm tiêu chí "Tìm kiếm" để tìm theo bill và số hợp đồng</t>
  </si>
  <si>
    <t>Lý do từ chối: chuyển từ chữ đen sang chữ đỏ</t>
  </si>
  <si>
    <t>Rà soát toàn bộ công thức trên Supply chain</t>
  </si>
  <si>
    <t>Navisoft gửi ATT view toàn bộ các công thức trên phần mềm hiện tại</t>
  </si>
  <si>
    <t>Duyệt Nhập kho/xuất kho</t>
  </si>
  <si>
    <t>Danh mục liên quan xuất kho vào chi phí</t>
  </si>
  <si>
    <r>
      <rPr>
        <b/>
        <sz val="11"/>
        <color theme="1"/>
        <rFont val="Times New Roman"/>
        <family val="1"/>
      </rPr>
      <t>- Giá vốn:</t>
    </r>
    <r>
      <rPr>
        <sz val="11"/>
        <color theme="1"/>
        <rFont val="Times New Roman"/>
        <family val="1"/>
      </rPr>
      <t xml:space="preserve"> ATT thống nhất công thức tính giá vốn, do Navisoft đang nhận các thông tin khác nhau:
</t>
    </r>
    <r>
      <rPr>
        <b/>
        <sz val="11"/>
        <color theme="1"/>
        <rFont val="Times New Roman"/>
        <family val="1"/>
      </rPr>
      <t>+ Cách 1:</t>
    </r>
    <r>
      <rPr>
        <sz val="11"/>
        <color theme="1"/>
        <rFont val="Times New Roman"/>
        <family val="1"/>
      </rPr>
      <t xml:space="preserve"> Giá vốn = (Giá mua + Định mức chi phí giá vốn cộng thêm)x1.1x tỷ giá bán ra của VCB tại ngày chốt hợp đồng cho khách hàng (hoặc tỷ giá bán ra tại ngày thanh toán cho NCC)
</t>
    </r>
    <r>
      <rPr>
        <b/>
        <sz val="11"/>
        <color theme="1"/>
        <rFont val="Times New Roman"/>
        <family val="1"/>
      </rPr>
      <t>+ Cách 2:</t>
    </r>
    <r>
      <rPr>
        <sz val="11"/>
        <color theme="1"/>
        <rFont val="Times New Roman"/>
        <family val="1"/>
      </rPr>
      <t xml:space="preserve"> Giá vốn</t>
    </r>
    <r>
      <rPr>
        <b/>
        <sz val="11"/>
        <color theme="1"/>
        <rFont val="Times New Roman"/>
        <family val="1"/>
      </rPr>
      <t xml:space="preserve"> </t>
    </r>
    <r>
      <rPr>
        <sz val="11"/>
        <color theme="1"/>
        <rFont val="Times New Roman"/>
        <family val="1"/>
      </rPr>
      <t xml:space="preserve">= ((giá mua +Định mức định mức chi phí giá vốn cộng thêm)x tỷ giá trên tờ khai  + Thuế nhập khẩu)x1.1
</t>
    </r>
    <r>
      <rPr>
        <b/>
        <sz val="11"/>
        <color theme="1"/>
        <rFont val="Times New Roman"/>
        <family val="1"/>
      </rPr>
      <t>+ Cách 3</t>
    </r>
    <r>
      <rPr>
        <sz val="11"/>
        <color theme="1"/>
        <rFont val="Times New Roman"/>
        <family val="1"/>
      </rPr>
      <t>: Giá vốn = (giá mua+giá mua*thuế NK+37$+CP khác)*tỷ giá*1.1.
Trong đó CP khác ví dụ là: CIC,...</t>
    </r>
  </si>
  <si>
    <t>Tạo đơn hàng với TH Bán hàng tại Cảng</t>
  </si>
  <si>
    <t>Tạo đơn hàng với TH Bán hàng tại Kho</t>
  </si>
  <si>
    <t>- Khi sửa đơn hàng sau khi đã được duyệt, nếu hiệu quả đơn hàng:
+ Nếu hiệu quả đơn hàng &gt; 0: ko cần duyệt lại
+ Nếu hiệu quả đơn hàng &lt;0 và tăng hiệu quả: ko cần duyệt lại
+ Nếu hiệu quả đơn hàng &lt; 0 và giảm hiệu quả: cần duyệt lại</t>
  </si>
  <si>
    <t>Duyệt đơn hàng cấp 1/cấp 2</t>
  </si>
  <si>
    <t>Trường hợp từ chối duyệt: thêm Lý do từ chối, chữ đỏ</t>
  </si>
  <si>
    <t>KH giao hàng</t>
  </si>
  <si>
    <t>- Địa chỉ: cho 2 option chọn trong list hoặc typing trực tiếp.
- Bổ sung chức năng tìm kiếm theo:
+ Bán tại cảng/kho
+ Người lập
+ Trạng thái
+ Ngày lập KH kéo
+ Khách hàng
- Thêm Phiếu giao hàng
- Thêm 2 nút  trạng thái duyệt cho Kế toán kho và ATZ. 3 trạng thái gồm: đã duyệt, chưa duyệt, từ chối</t>
  </si>
  <si>
    <t>Thông báo đang theo Shipment, bổ sung thêm số bill trên tên thông báo</t>
  </si>
  <si>
    <t>ATZ</t>
  </si>
  <si>
    <t>Cung cấp database gồm: "dữ liệu + cấu trúc dữ liệu của hệ thống ATT online hiện tại"</t>
  </si>
  <si>
    <t>Mr Đáng
Mr Long TGĐ ATT
Ms Hạnh</t>
  </si>
  <si>
    <t>ATZ confirm lại thông tin:
- Thông tin đã cung cấp: 1 lần kéo cont chỉ 1 loại hàng do xe cont là nguyên 1 loại hàng cho 1 khách, chỉ xe tải mới ghép hàng
- Cả cont và xe tải đều có ghép hàng</t>
  </si>
  <si>
    <t>Phần ghi chú trên Giấy vận tải : 
"CHỤP ẢNH TÌNH TRẠNG CONT Ở CẢNG VÀ KHI XUỐNG HÀNG XONG CÙNG BIÊN BẢN GIAO HÀNG GỬI LÊN ROOM CHO BÊN KẾ HOẠCH"</t>
  </si>
  <si>
    <t>Kế hoạch kéo chia thành Kế hoạch kéo tại Kho và Kế hoạch kéo tại Cảng (chỉ chia giao diện cho ATZ, còn giữ nguyên giao diện cho ATT).</t>
  </si>
  <si>
    <t>- Hoàn thành Module Giá và khối lượng
- Bổ sung biểu mẫu Phiếu xuất kho, Phiếu nhập kho, Phiếu chuyển kho (theo form không có giá Ms Tiên gửi) lên phần mềm</t>
  </si>
  <si>
    <t>Bổ sung thông tin:
- Số lượng cont về , loại cont , hình thức (hàng rời hay palet)
- Số bill và tờ khai</t>
  </si>
  <si>
    <t>Không bắt buộc nhập tên lái xe. Trong thời gian đầu, người nhập thông tin là admin, Lái xe chưa tham gia sử dụng phần mềm
ATZ gửi list biển số xe của ATZ để Navisoft sửa sổ list biển số xe, typing khi thuê xe ngoài
- Thêm tiêu chí tìm  kiếm lệnh kéo xetheo ngày</t>
  </si>
  <si>
    <t>ATT mua của khách hàng ngoài giao cho khách hàng  của ATT hoặc kho của ATT (mua đi bán lại), ATZ vận chuyển: xác nhận lại với ATT đặt vào danh mục nào trên phần mềm, cách gọi ntn (hợp đồng nội địa)</t>
  </si>
  <si>
    <t>Thêm dòng Tổng cộng của toàn kho và thể hiện ở tất cả các trang</t>
  </si>
  <si>
    <t>Sửa "HH30-Kho của An Thành tại Đồng niên" thành "HH30-Kho của An Thành tại Complex"</t>
  </si>
  <si>
    <t>Thêm tuổi ngày của hàng tồn kho (nhập trước xuất trước)</t>
  </si>
  <si>
    <t>Bỏ duyệt của Kế toán trưởng ATT</t>
  </si>
  <si>
    <t>- Thủ kho làm phiếu của kho mình quản lý, kế toán duyệt nhập xuất kho theo từng miền và theo kho</t>
  </si>
  <si>
    <t>CP khác là CIC, lưu cont lưu bãi, sửa chữa cont…: nhập liệu, phần mềm không tính sẵn</t>
  </si>
  <si>
    <t>+ CIC: phòng mua hàng nhập liệu</t>
  </si>
  <si>
    <t>+ Phí lưu cont lưu bãi, sửa chữa cont…: ATZ confirm ATZ giao ai nhập liệu?</t>
  </si>
  <si>
    <t>ATT, ATZ</t>
  </si>
  <si>
    <t>ATZ, ATT thống nhất và cung cấp công thức tính thuế nhập khẩu (Mr Phong ATZ và Ms Hạnh KTT ATT thống nhất)</t>
  </si>
  <si>
    <t>ATT
ATZ</t>
  </si>
  <si>
    <t>ATT
Navisoft</t>
  </si>
  <si>
    <t>Trạng thái/tiến độ</t>
  </si>
  <si>
    <t>Navisoft sửa công thức tính thuế nhập khẩu theo Mr Phong ATZ và Ms Hạnh KTT ATT thống nhất</t>
  </si>
  <si>
    <t>1. ATZ gửi list từng user được phân quyền gì để update:
- Ngày ATZ nhận chứng từ gốc
- Ngày thông quan
- Đã đổi lệnh ở cảng….
2. ATZ cung cấp thông tin: Sau khi thông quan thì phần mềm sẽ báo đến những ai
3. Bổ sung thêm trường Bãi nâng, bãi hạ: được nhập sau khi đã đổi lệnh</t>
  </si>
  <si>
    <t>Navisoft sửa trên phần mềm theo thông tin trên</t>
  </si>
  <si>
    <t>Navisoft sửa:
- Hiện tại: 1 lần kéo cont chỉ 1 loại hàng do xe cont là nguyên 1 loại hàng cho 1 khách, chỉ xe tải mới ghép hàng
- Sửa: Cả cont và xe tải đều có ghép hàng</t>
  </si>
  <si>
    <t>Ms Hạnh KTT ATT Gửi Navisoft danh mục bộ phận, danh mục khoản mục phí liên quan đến xuất kho vào chi phí</t>
  </si>
  <si>
    <t>Thêm/sửa/xóa/duyệt shipment</t>
  </si>
  <si>
    <t>- 26/12/2018-Mr Long chủ trì
- 28/12/2018-Mr Tú chủ trì</t>
  </si>
  <si>
    <t>Các đơn đã giao xong trước 30/11/2018: ko chuyển
Các đơn chưa giao xong trước 30/11/2018: cần chuyển</t>
  </si>
  <si>
    <t>Apps</t>
  </si>
  <si>
    <t>- Thêm nút "Tìm kiếm" để tìm theo bill và số hợp đồng.
Lọc theo thời gian (ngày ETA), nhà cung cấp</t>
  </si>
  <si>
    <r>
      <t xml:space="preserve">- Xây dựng biểu mẫu báo cáo
- Up lên phần mềm
</t>
    </r>
    <r>
      <rPr>
        <sz val="11"/>
        <color rgb="FFFF0000"/>
        <rFont val="Times New Roman"/>
        <family val="1"/>
      </rPr>
      <t>- Bổ sung báo cáo thời hạn thực hiện thực tế đối với từng công đoạn
- BC theo từng mã hàng, thời gian (ngày, tháng), giá mua và giá bán bình quân ngày</t>
    </r>
  </si>
  <si>
    <t>- Chia phân quyền TCKT duyệt PO mua nhựa và hóa chất theo vùng miền (miền Bắc: chị Hạnh, miền Nam và ATS: chị Tiên), không chia theo loại hạt</t>
  </si>
  <si>
    <t>Thêm tìm kiếm PO theo nhà cung cấp</t>
  </si>
  <si>
    <t>Thêm số hợp đồng trên tên thông báo
=&gt; Thông báo gồm: Số hợp đồng, số bill, nội dung thông báo</t>
  </si>
  <si>
    <t>- Thay đổi lịch tàu: Sửa ETD, ETA: có thông báo đến all và việc quyết định có hủy hợp đồng hay không thì ATT trao đổi ở ngoài phần mềm và giao 1 người được chỉ định kiểm soát: nếu chốt hủy hợp đồng thì người đó sẽ hủy hợp đồng trên phần mềm</t>
  </si>
  <si>
    <t>Chia 2 miền:
- KH kéo của miền Bắc: ATZ thực hiện
- KH kéo trong miền Nam: ATT thực hiện</t>
  </si>
  <si>
    <t>PO toàn quốc thì kế toán nào duyệt (MB /MN)</t>
  </si>
  <si>
    <t>Cần 4 ngày để thực hiện tính từ thời điểm chốt</t>
  </si>
  <si>
    <t>- Có thể tạo đơn hàng ở giao diện "Báo cáo cho sales".
- Bổ sung chức năng tìm kiếm theo hạt và theo nhóm hàng ở giao diện "Báo cáo cho sales".
-  Ở giao diện "Báo cáo cho sales", danh sách các hàng được phép bán ở kho nào sẽ show các kho mà thực tế hàng đang ở đó (nếu là hàng gửi thì show kho gửi)
- Bỏ chọn loại hàng "Hạt nhựa thông thường" hay "Hạt nhựa kỹ thuật": do có thể 1 đơn hàng gồm nhiều loại hạt
- Hình thức thanh toán: thêm hình thức trả trước, trả sau 3 ngày
- Trường hợp thay đổi sales chăm sóc thì sales mới view đơn hàng từ thời điểm bàn giao, sales cũ chỉ view được từ thời điểm cũ. Admin và GĐ xem được toàn bộ.
- Sales admin được xem toàn bộ các đơn hàng họ phụ trách, không căn cứ trên người tạo đơn</t>
  </si>
  <si>
    <t xml:space="preserve">+ Nhân viên phòng sales: hình thức là sales USD hay VND hay cả 2
+ Nhân viên khác phòng Sales: thêm chọn được sales ko, nếu được sales thì hình thức là sales USD hay VND hay cả 2
- Khai báo người dùng: thêm phân quyền </t>
  </si>
  <si>
    <r>
      <rPr>
        <sz val="11"/>
        <color rgb="FFFF0000"/>
        <rFont val="Calibri Light"/>
        <family val="2"/>
        <scheme val="major"/>
      </rPr>
      <t xml:space="preserve">- Khi sổ list Nhân viên sales: chỉ hiển thị GĐ bán hàng và sales (ko hiển thị admin và kế toán)
- Giá cơ sở áp dụng: automatic theo giá được duyệt và được sửa nhập typing:
+ nếu số typing &gt; giá cơ sở được duyệt thì được lưu đơn hàng
+ nếu số typing &lt; giá cơ sở được duyệt thì không được lưu đơn hàng </t>
    </r>
    <r>
      <rPr>
        <sz val="11"/>
        <color theme="1"/>
        <rFont val="Calibri Light"/>
        <family val="1"/>
        <scheme val="major"/>
      </rPr>
      <t xml:space="preserve">
- Ngày chốt đơn hàng: không được sửa
- Địa điểm giao hàng và cước: 2 option:
+ Chọn trong list sẵn có
+ Nhập thêm. ATT báo ATZ bổ sung thêm địa điểm mới và cước mới.
Trong thời gian chờ địa điểm mới chưa có mức cước (có địa điểm mà cước = 0) thì đơn hàng chỉ được lưu tạm, đến khi đủ thông tin mới gửi duyệt được. Đối với khách tự vận chuyển thì đồng ý cước = 0 và gửi duyệt bình thường.</t>
    </r>
  </si>
  <si>
    <t>Thêm tuổi tồn kho trung bình (nhập trước xuất trước)</t>
  </si>
  <si>
    <t>Mới thống nhất</t>
  </si>
  <si>
    <t>Nhập bằng tay vì không tận dụng được dữ liệu ATTonline hiện tại đề nghi ATT nhập tay</t>
  </si>
  <si>
    <t>Giá vốn = (Giá mua+Giá mua*Thuế NK+ Định mức chi phí giá vốn cộng thêm+CP khác)*tỷ giá*1.1
Trong đó CP khác là CIC…
Áp dụng định mức 11.5$-61$. Để mở để thêm cảng/định mức: nhập typing
Phần mềm vẫn để có trường “CP khác”. Thực tế sử dụng: nhập và duyệt theo quy trình của ATT thống nhất với các đơn vị khác (Nguyên tắc ATT ko phát sinh CP lưu cont, lưu bãi, nếu phát sinh thì ATZ đề nghị ATT đồng ý): ATZ là người nhập, ATT kế toán thanh toán là người nhận thông tin (để tính hiệu quả)</t>
  </si>
  <si>
    <t>ATT thông báo Tỷ giá áp dụng trong công thức trên là Tỷ giá nào: - Tỷ giá bán ra của Vietcombank tại thời điểm nhập liệu</t>
  </si>
  <si>
    <t>Bỏ trường lưu bãi khi công thức đã có</t>
  </si>
  <si>
    <t>- Lưu bãi: thêm 1 trường riêng (định mức CP cộng thêm chưa có lưu bãi, khi nào có lưu bãi thì không phải nhập). Từ ngày thứ 11, có cảnh báo: ETA + 5 ngày (free) + 5 ngày (báo sales admin)</t>
  </si>
  <si>
    <t>Hạn free lưu vỏ = lưu cont = lưu bãi
-Chi phí khác  (có thông báo cho kế toán):  chia thành các trường cho các bên nhập
+CIC: Phòng Mua hàng nhập
+Lưu cont, lưu vỏ, Sửa cont (tách 3 trường riêng biệt): ATT nhập</t>
  </si>
  <si>
    <t xml:space="preserve">Cách thức &amp; phương án với từng tình huống tại từng thời điểm cụ thể
Anh Căn là đầu mối lập bài toán gửi Navisoft, gồm:
+ Kế hoạch mua hàng, kịch bản mua
+ Kế hoạch kinh doanh, kịch bản bán
+ Giá vốn thay đổi theo từng thời điểm:
 Ký hợp đồng
 Lên PO
 Lên Shipment
 Về cảng
 ...
Bộ tham số gồm những gì: CP vốn, cảng, cp thuê kho.... Định mức bao nhiêu, công thức ntn
- Thời gian anh Căn gửi: chậm nhất 25-28/1
- Thời gian Navisoft đưa lên Supply Chain: ¼ golive
</t>
  </si>
  <si>
    <t>Danh sách chức năng giai đoạn 3</t>
  </si>
  <si>
    <t>Giai đoạn 3: khách hàng dùng app, tự biết giá bán theo sản lượng, thời gian giao hàng, mã hàng, phương thức mua....</t>
  </si>
  <si>
    <t>Giai đoạn 3</t>
  </si>
  <si>
    <t>ATT view và báo các công thức cần sửa cho Navisoft: Công thức tính giá vốn trung bình theo sản phẩm
Trung bình cộng theo sản lượng:
 Giá vốn 1 x Sản lượng 1 + Giá vốn 2 x Sản lượng 2 + ...
(Sản lượng 1 + sản lượng 2 + ...)</t>
  </si>
  <si>
    <t>Update giá vốn trung bình theo sản phẩm khi có Shipment mới (bắt đầu chia hàng theo cảng)</t>
  </si>
  <si>
    <t>Update giá vốn trung bình theo sản phẩm Theo tính giá vốn thời điểm của Giai đoạn 2</t>
  </si>
  <si>
    <t>Ban TCKT tham gia xây dựng/duyệt Giá cơ sở.
Hiệu quả đơn hàng từ hoạt động của phòng bán, phòng mua, kiểm soát chi phí của TCKT.</t>
  </si>
  <si>
    <t>Công thức tính hiệu quả đơn hàng</t>
  </si>
  <si>
    <t xml:space="preserve">ATT view và báo các công thức cần sửa cho Navisoft: Chia 2 cột:
-Hiệu quả đơn hàng của công ty
= Giá bán – (giá vốn + hoa hồng + công nợ thanh toán + cước vận chuyển)
-Hiệu quả đơn hàng tính cho Sales: như công thức hiện tại: 
= Giá bán – (giá cơ sở + hoa hồng + công nợ thanh toán + cước vận chuyển)
</t>
  </si>
  <si>
    <t>Thêm Option thời gian ủy quyền: từ ngày đến ngày</t>
  </si>
  <si>
    <t>- Thêm trường Kế hoạch, các trường chi phí để tính lại định mức 11.5$-61$ (chia biến phí, định phí) thay đổi theo sản lượng mục tiêu kế hoạch
- Báo cáo chênh lệch tăng giảm giữa tạm tính và thực tế:
+ Chi phí tạm tính và chi phí update: gồm chi phí hãng tàu, chi phí local charge...
+ Đơn Giá
+ Số lượng
 + Cảng
+ Chia theo loại hàng và miền
- Thêm hiệu quả từng Shipment. ATT đưa công thức</t>
  </si>
  <si>
    <t>Công thức :tính giá vốn:</t>
  </si>
  <si>
    <t>Thời gian ủy quyền</t>
  </si>
  <si>
    <t>Giá vốn trung bình theo sản phẩm</t>
  </si>
  <si>
    <t>Thêm trường COA:
- Nhập theo từng Shipment
- Từng LOT
- Phòng mua hàng nhập</t>
  </si>
  <si>
    <t>COA</t>
  </si>
  <si>
    <t>Deadline thực hiện các đầu mục công việc của ATZ: thống nhất giữa ATT và ATZ</t>
  </si>
  <si>
    <t>26/12 A Tú trao đổi với Đáng</t>
  </si>
  <si>
    <t>ATT đã gửi mẫu, chuẩn bị cho giai đoạn 2</t>
  </si>
  <si>
    <t>Chị Hạnh KTT ATT cung cấp</t>
  </si>
  <si>
    <t>28/12/2018 - Mr Tú chủ trì
14/1/2019</t>
  </si>
  <si>
    <r>
      <rPr>
        <b/>
        <sz val="11"/>
        <rFont val="Times New Roman"/>
        <family val="1"/>
      </rPr>
      <t>- Định mức chi phí giá vốn cộng thêm:</t>
    </r>
    <r>
      <rPr>
        <sz val="11"/>
        <rFont val="Times New Roman"/>
        <family val="1"/>
      </rPr>
      <t xml:space="preserve"> Hiện tại phần mềm đang sử dụng định mức 37$. ATT và Ban TCKT thống nhất sử dụng định mức:
+ Mua CIF-Bán nội-Tại Cảng: 38.2$
+ Mua CIF-Bán nội-tại kho: 43.4$
+ Mua FOB-Bán nội-tại Cảng: 55.8$
+ Mua FOB-Bán nội-tại kho: 61.0$
+ Mua CIF-Bán CIF: 11.5$
+ Mua FOB-Bán CIF-cảng Cát Lái: 19.1$
+ Mua FOB-Bán CIF-cảng Hải Phòng: 28.7$
+ Mua FOB-Bán CIF-cảng xuất bán khác: bổ sung thêm ở giai đoạn 2 (cảng mua FOB là option, cảng bán: list)</t>
    </r>
  </si>
  <si>
    <t>Dừng. Chuyển sang ATT nhập trực tiếp</t>
  </si>
  <si>
    <t>Không hoàn thành. Dừng. Chuyển sang ATT nhập trực tiếp</t>
  </si>
  <si>
    <t>Một số ít</t>
  </si>
  <si>
    <t>Bổ sung thêm</t>
  </si>
  <si>
    <t>Supply Chain</t>
  </si>
  <si>
    <t>Bộ chứng từ: phân quyền Ai nhập bộ chứng từ, ai xem bộ chứng từ</t>
  </si>
  <si>
    <t>Dữ liệu tồn kho hàng ngày: cuối ngày Kế toán gửi dữ liệu tồn kho để update vào phần mềm</t>
  </si>
  <si>
    <t>Chờ ATT confirm</t>
  </si>
  <si>
    <t>ATT chưa gửi</t>
  </si>
  <si>
    <t>Navisoft đang thực hiện</t>
  </si>
  <si>
    <t>Chờ ATT gửi biểu mẫu</t>
  </si>
  <si>
    <t>ATT thực hiện</t>
  </si>
  <si>
    <t>15/1/2019</t>
  </si>
  <si>
    <t xml:space="preserve">ATT và ATZ thống nhất việc ghép tải:
- Trong KH giao hàng (ATT làm), 1 KH giao hàng được chọn nhiều chi tiết đơn hàng
- Trong Lệnh điều xe (ATZ làm), 1 lệnh điều xe được chọn nhiều KH giao hàng
</t>
  </si>
  <si>
    <t>ATZ và ATT đã confirm</t>
  </si>
  <si>
    <t>ATT (Ms Bích) báo: HĐ nội địa thì cũng có đầy đủ các trường thông tin như HĐ NK (về điều xe thì nó chỉ thay đổi ở địa điểm lấy hàng thôi), k cần thiết tách thành 1 danh mục riêng</t>
  </si>
  <si>
    <t>Bộ chứng từ: phân quyền Ai nhập bộ chứng từ, ai xem bộ chứng từ:
=&gt; PMH ATT nhập. Quyền xem : KT ATT, admin ATT, PMH, GDKD miền</t>
  </si>
  <si>
    <t>ATT đã confirm</t>
  </si>
  <si>
    <t>anh Long báo cả 2 (chị Tiên và chị Hạnh)</t>
  </si>
  <si>
    <t>http://attonline.anthanhbicsol.com:6286/</t>
  </si>
  <si>
    <t>ATT chưa gửi - Giai đoạn 2 sẽ gửi</t>
  </si>
  <si>
    <t>9h tối 15/2</t>
  </si>
  <si>
    <t>Chờ ATT gửi biểu mẫu-giai đoạn 2</t>
  </si>
  <si>
    <t>ATT (Ms Bích) báo: HĐ nội địa thì cũng có đầy đủ các trường thông tin như HĐ NK (về điều xe thì nó chỉ thay đổi ở địa điểm lấy hàng thôi), k cần thiết tách thành 1 danh mục riêng
=&gt; vẫn tạo cont ảo và điều xe như bt</t>
  </si>
  <si>
    <t>Data convert 1 số shipment thiếu hình thức bán, hình thức thanh toán, ngày nhận bill, quãng đường xa gần để tính lịch</t>
  </si>
  <si>
    <t>Navi gửi Ms Hương PMH file shipment</t>
  </si>
  <si>
    <t>12h ngày 15/2</t>
  </si>
  <si>
    <t>Hương gửi bổ sung thông tin shipment</t>
  </si>
  <si>
    <t>17h ngày 15/2</t>
  </si>
  <si>
    <t>Ms Hương</t>
  </si>
  <si>
    <t>Navi list ra 1 file thừa thiếu để ATT sửa tay trên phần mềm</t>
  </si>
  <si>
    <t>10h ngày 18/2</t>
  </si>
  <si>
    <t>Gắn cont nào với mã order nào trong cùng 1 shipment: chấp nhận gắp 1 cont với 1 order bất kỳ, miễn là trong 1 shipments
accept rủi ro 1 cont 2 khách (tỷ lệ thực tế hiếm gặp, 1/1000) và thiếu cont.</t>
  </si>
  <si>
    <t>Navi convert hết toàn bộ dữ liệu đến hết ngày 15/2</t>
  </si>
  <si>
    <t>ATT chốt đơn hàng và gửi Navi dữ liệu tồn kho Bravo và cho Navi account tự lấy dữ liệu</t>
  </si>
  <si>
    <t>21h ngày 15/2</t>
  </si>
  <si>
    <t>Ms Bích
Ms Hạnh</t>
  </si>
  <si>
    <t>Phần bán tại kho: Kim Anh tự nhập đơn hàng bán tại kho</t>
  </si>
  <si>
    <t>ATT tự quản lý</t>
  </si>
  <si>
    <t>Danh sách khách hàng: phân công sales nào quản lý</t>
  </si>
  <si>
    <t>Phần mềm đã có chức năng quản lý khách hàng. ATT tự bổ sung</t>
  </si>
  <si>
    <t xml:space="preserve">Đối với convert dữ liệu, do 1 sp-1 cảng-1 giá thì tách thành 2 hợp đồng. 1 HĐ 2 giá chỉ xảy ra khi mua nội, giá theo hợp đồng công thức </t>
  </si>
  <si>
    <t>Giá của sản phẩm trong hợp đồng lấy giá trung bình của các shipment</t>
  </si>
  <si>
    <t>Hai bên thống nhất không còn vướng mắc. Chạy thực tế từ thứ 2 - ngày 18/2</t>
  </si>
  <si>
    <t xml:space="preserve">NHẬT KÝ HÀNH ĐỘNG </t>
  </si>
  <si>
    <t>12/2/2019</t>
  </si>
  <si>
    <t>ĐẠI DIỆN NAVISOFT</t>
  </si>
  <si>
    <t>ĐẠI DIỆN ATT</t>
  </si>
  <si>
    <t>ĐẠI DIỆN BAN KH&amp;TCT</t>
  </si>
  <si>
    <t>Ghi chú</t>
  </si>
  <si>
    <t>Danh mục hàng giao thoa</t>
  </si>
  <si>
    <t>Căn cứ bảng mã danh mục vật tư hàng hóa Bravo của 5 công ty: ATT, AAA, HII, ACP, AVP:
- Khớp mã bravo và tên: ok
- Khớp mã bravo nhưng ko khớp tên: các đơn vị thống nhất lại để gửi Navisoft
- Ko khớp cả mã bravo và tên:các bên thống nhất không phải hàng giao thoa</t>
  </si>
  <si>
    <t>Quản lý công việc phát sinh</t>
  </si>
  <si>
    <t>AAA</t>
  </si>
  <si>
    <t>ACP</t>
  </si>
  <si>
    <t>AVP</t>
  </si>
  <si>
    <t>HII</t>
  </si>
  <si>
    <t>Đền</t>
  </si>
  <si>
    <t>c Hà KTT</t>
  </si>
  <si>
    <t>a Bình, Tú, Hà</t>
  </si>
  <si>
    <t>chị Nhiên,bạn An,bạn Nam và Thành</t>
  </si>
  <si>
    <t>Kế toán</t>
  </si>
  <si>
    <t>HN + AAA</t>
  </si>
  <si>
    <t>ĐẠI DIỆN ATZ</t>
  </si>
  <si>
    <t>ĐẠI DIỆN AAA</t>
  </si>
  <si>
    <t>ĐẠI DIỆN HII</t>
  </si>
  <si>
    <t>ĐẠI DIỆN ACP</t>
  </si>
  <si>
    <t>ĐẠI DIỆN AVP</t>
  </si>
  <si>
    <t>ĐẠI DIỆN BAN KH&amp; TCT            ĐẠI DIỆN ATT</t>
  </si>
  <si>
    <t>Navisoft khảo sát và làm việc với Bravo để link tự động: 8/3.
Các công việc tiếp theo: sau kết quả làm việc với Bravo</t>
  </si>
  <si>
    <t>- 5/3: các đơn vị lọc mã hạt nguyên sinh gửi ATT
- 6/3: ATT lọc những hàng giao thoa, gửi lại các đơn vị.
- 7/3: các đơn vị sửa trên Bravo Quy chuẩn theo mã AAA: làm chuẩn</t>
  </si>
  <si>
    <t>Số ngày được phép tồn:
- ATT: &gt; 30 ngày -&gt; cảnh báo
- Các đơn vị: &gt; 15 ngày -&gt; cảnh báo (15 ngày min; 30 ngày max)
=&gt; Sau khi có bảng hàng giao thoa (8/3), Ms Xuê chủ trì, thống nhất với các đơn vị trình Mr Việt ngày min, max theo từng mã hàng, từng kho chậm nhất ngày 11/3</t>
  </si>
  <si>
    <t>Navsoft l/v với đầu mối Ms Xuê.
Ms Xuê thống nhất Biểu mẫu KH nguyên vật liệu: 8/3
Ms Xuê là người input vào phần mềm
ATT: a Căn tổng hợp KH mua: 8/3 gửi Navisoft
Chuyển kho: Hạnh APH gửi quy trình cho Navisoft (5/3). Các vướng mắc để chuyển quy trình lên phần mềm: Navisoft làm việc với Bích và c Xuê, c Hạnh</t>
  </si>
  <si>
    <t>Bán hàng dựa trên Tổng kho</t>
  </si>
  <si>
    <t>Phần mềm tự động tính số lượng Hàng có thể bán</t>
  </si>
  <si>
    <t>Ms Bích, Ms Xuê thống nhất gửi công thức cho Navisoft: 11/3</t>
  </si>
  <si>
    <t>Ms Xuê chủ trì làm việc với Navisoft: 20/3</t>
  </si>
  <si>
    <t>Cảnh báo nhập ngày nhận chứng từ theo ngày ETA</t>
  </si>
  <si>
    <t>Thay đổi giá</t>
  </si>
  <si>
    <t>II</t>
  </si>
  <si>
    <t>Phát sinh tuyến mới: ATT là người nhập</t>
  </si>
  <si>
    <t>Tính cước vận chuyển</t>
  </si>
  <si>
    <t>Cước vận chuyển hàng lẻ/xe tải</t>
  </si>
  <si>
    <t>Giá cước vận chuyển</t>
  </si>
  <si>
    <t xml:space="preserve">Còn 1 số tuyến: ATT và ATZ </t>
  </si>
  <si>
    <t>Phòng mua</t>
  </si>
  <si>
    <t>Từ ngày 11/3: Dừng toàn bộ trên ATT online; và sử dụng toàn bộ trên Supply Chain</t>
  </si>
  <si>
    <t>Navisoft BC đã hoàn thành chỉnh sửa</t>
  </si>
  <si>
    <t>Duyệt PO: 4/5 lần, không được</t>
  </si>
  <si>
    <t>Đơn hàng HCM nguyên nhân: 
- Thao tác sai
- Chưa có thông tin cước</t>
  </si>
  <si>
    <t>Cập nhật HDSD: Navisoft cập nhật HDSD mới, gửi lại</t>
  </si>
  <si>
    <t>Chỉnh sửa duyệt lại: nếu đã từ chối và cần duyệt lại thì phải làm lại từ đầu</t>
  </si>
  <si>
    <t>Giữ nguyên như hiện nay</t>
  </si>
  <si>
    <t>Mr Căn</t>
  </si>
  <si>
    <t>Ms Hạnh</t>
  </si>
  <si>
    <t>- Bổ sung trường "Người liên hệ" khi Người duyệt view và quyết định duyệt hay không</t>
  </si>
  <si>
    <t>- Bổ sung trường "Chờ ai duyệt"</t>
  </si>
  <si>
    <t>- Bổ sung hiển thị tên Nhà cung cấp bên cạnh mã NCC</t>
  </si>
  <si>
    <t>Cảnh báo ngày thông báo hàng về
Cảnh báo thừa hàng/thiếu hàng</t>
  </si>
  <si>
    <t>Mr Căn gửi bài toán: 11/3
Khi có cảnh báo, báo đến anh Việt, Bích (thiếu hàng/thừa hàng so với định mức: để option theo nhóm hoặc từng mã)</t>
  </si>
  <si>
    <t>Báo cáo về P/O hiển thị lịch sử: 
- ATT gửi biểu mẫu (Ms Hạnh KTT đầu mối: all)
- Navi hiển thị trên phần mềm các biểu đồ
=&gt; Bổ sung sau khi chạy 1 tháng khi phần mềm đã có dữ liệu</t>
  </si>
  <si>
    <t>Hợp đồng mua</t>
  </si>
  <si>
    <t>Báo cáo hiển thị lịch sử: 
- ATT gửi biểu mẫu (Ms Hạnh KTT đầu mối: all)
- Navi hiển thị trên phần mềm các biểu đồ
=&gt; Bổ sung sau khi chạy 1 tháng khi phần mềm đã có dữ liệu</t>
  </si>
  <si>
    <t>Tìm kiếm thêm điều kiện lọc: Từ ngày đến ngày</t>
  </si>
  <si>
    <t>- Khi sửa đơn hàng sau khi đã được duyệt, nếu hiệu quả đơn hàng:
+ Nếu hiệu quả đơn hàng &gt; 0: ko cần duyệt lại
+ Nếu hiệu quả đơn hàng &lt;0 và tăng hiệu quả (giảm lỗ): ko cần duyệt lại
+ Nếu hiệu quả đơn hàng &lt; 0 và giảm hiệu quả (tăng lỗ): cần duyệt lại</t>
  </si>
  <si>
    <t>Phân quyền được duyệt hiệu quả đơn hàng:
- Miền Nam: 500VND, 10USD
- Miền Bắc: 300VND,... USD
Bích gửi lại bảng phân quyền cho Navisoft: 5/3 gửi
Navisoft sửa lại trên Supply chain: 8/3.
Khi có thay đổi về phân quyền: ATT gửi Navisoft trước 3 ngày trước khi áp dụng trên Supply Chain</t>
  </si>
  <si>
    <t>Chọn chế độ view: hiển thị chọn full hoặc phân trang (ko hiển thị các shipment đã xử lý xong)</t>
  </si>
  <si>
    <t>Hoàn thiện các trường thông tin từ ATT online sang Supply chain</t>
  </si>
  <si>
    <t>Convert</t>
  </si>
  <si>
    <t>Thời hạn</t>
  </si>
  <si>
    <t>Mr Căn bổ sung trường thông tin (249 shipment)
Navi cử 1 người làm cùng Mr Căn</t>
  </si>
  <si>
    <t>Bắt đầu từ chiều 5/3</t>
  </si>
  <si>
    <t>Bổ sung thêm tìm kiếm nhanh:
-  theo mã hạt
- nhóm hàng
- nhà cung cấp
- đơn vị nhập hàng
- vùng/miền
- tờ khai</t>
  </si>
  <si>
    <t>16/03/2019 ATT Gửi</t>
  </si>
  <si>
    <t>Navi làm với Ms Hạnh và Mr Căn</t>
  </si>
  <si>
    <t>Vướng măc/Y/c bổ sung 4/3</t>
  </si>
  <si>
    <t>Thay đổi giá của PO: sửa lại giá và khối lượng thì duyệt lại</t>
  </si>
  <si>
    <t>5 đơn vị:
5/3
6/3
7/3</t>
  </si>
  <si>
    <t>Đã gửi lần 1 - 28/12/2018</t>
  </si>
  <si>
    <t>16/03/2019 ATT Gửi bổ sung (nếu có)</t>
  </si>
  <si>
    <t>Yêu cầu bài toán giai đoạn 1</t>
  </si>
  <si>
    <t>ATT hoàn thiện yêu cầu bài toán giai đoạn 1, gửi bản Scan ký</t>
  </si>
  <si>
    <t>Navisoft hoàn thành 11/03/2019</t>
  </si>
  <si>
    <t>- Ms Xuê, Mr Căn đã gửi biểu mẫu
- Ms Hạnh APH đã gửi Quy trình
- Chưa có tiến độ Navisoft view quy trình</t>
  </si>
  <si>
    <t>Navisoft sửa 11/03/2019</t>
  </si>
  <si>
    <t>Miền Bắc: tấn
Miền Nam: chuyến
Trường hợp không đủ tải, 2 bên thống nhất với nhau và sửa trên phần mềm.</t>
  </si>
  <si>
    <t>Ms Bảo Hạnh đã gửi trên room ngày 16/3</t>
  </si>
  <si>
    <t>Bản Quy chuẩn và Quy đổi từng ĐV: 
- AAA, ATT: phòng mua đã xác nhận, còn chờ kế toán
- HII: đã xác nhận
- AVP: đã xác nhận
- ACP: hiện tại không có hàng giao thoa</t>
  </si>
  <si>
    <t>Chưa hoàn thành, vì còn 1 số vướng mắc</t>
  </si>
  <si>
    <t>Chưa liên hệ đc vs Bravo, Sẽ làm lên lịch trong tuần 18/3 - 22/3</t>
  </si>
  <si>
    <t>Navisoft đã nhận bản kế hoạch sản xuất</t>
  </si>
  <si>
    <t>Navisoft đã nhận công thức</t>
  </si>
  <si>
    <t xml:space="preserve">Đã hoàn thành </t>
  </si>
  <si>
    <t xml:space="preserve">DANH SÁCH CHỨC NĂNG CỦA HỆ THỐNG ATT - Giai đoạn 1 </t>
  </si>
  <si>
    <t xml:space="preserve">DANH SÁCH CHỨC NĂNG CỦA HỆ THỐNG ATT - Giai đoạn 2 </t>
  </si>
  <si>
    <t>Module</t>
  </si>
  <si>
    <t>PO/Hợp đồng</t>
  </si>
  <si>
    <t>Quản lý kế hoạch mua hàng, kịch bản mua hàng</t>
  </si>
  <si>
    <t xml:space="preserve">Quản lý công việc </t>
  </si>
  <si>
    <t>Quản lý kế hoạch bán hàng, kịch bản bán hàng</t>
  </si>
  <si>
    <t>Quản lý thông báo</t>
  </si>
  <si>
    <t>Quản lý hợp đồng công thức</t>
  </si>
  <si>
    <t>Lịch Shipment</t>
  </si>
  <si>
    <t>Kết nối chuyển thông tin cho Bravo</t>
  </si>
  <si>
    <t>Thông báo liên quan</t>
  </si>
  <si>
    <t>Quản lý giá vốn theo giai đoạn</t>
  </si>
  <si>
    <t>Ủy quyền</t>
  </si>
  <si>
    <t>Quản lý định mức chi phí</t>
  </si>
  <si>
    <t>Quản lý NSD/Login-Logout</t>
  </si>
  <si>
    <t>Quản lý hiệu quả Shipment</t>
  </si>
  <si>
    <t>Danh mục NCC</t>
  </si>
  <si>
    <t>Danh mục cảng</t>
  </si>
  <si>
    <t>Danh mục hãng tàu</t>
  </si>
  <si>
    <t>Kho</t>
  </si>
  <si>
    <t>Tổng kho giai đoạn 2</t>
  </si>
  <si>
    <t>Danh mục Tỉnh/Huyện</t>
  </si>
  <si>
    <t>Danh mục khách hàng</t>
  </si>
  <si>
    <t>Danh mục sản phẩm</t>
  </si>
  <si>
    <t>Danh mục cước vận chuyển</t>
  </si>
  <si>
    <t>Danh mục kho</t>
  </si>
  <si>
    <t>Quản lý PO</t>
  </si>
  <si>
    <t xml:space="preserve">Hợp đồng </t>
  </si>
  <si>
    <t>Quản lý Hợp đồng</t>
  </si>
  <si>
    <t>Quản lý shipment</t>
  </si>
  <si>
    <t>Duyệt shipment</t>
  </si>
  <si>
    <t>Quản lý bộ chứng từ</t>
  </si>
  <si>
    <t>Kế hoạch kéo</t>
  </si>
  <si>
    <t>Lệnh điều xe cont</t>
  </si>
  <si>
    <t>Lệnh điều xe tải</t>
  </si>
  <si>
    <t>An ninh an toàn</t>
  </si>
  <si>
    <t>Import giá giao xa</t>
  </si>
  <si>
    <t>Import giá giao ngay</t>
  </si>
  <si>
    <t>Duyệt giá giao ngay</t>
  </si>
  <si>
    <t>Duyệt giá giao xa</t>
  </si>
  <si>
    <t>Danh sách Order</t>
  </si>
  <si>
    <t>Bán hàng tại kho</t>
  </si>
  <si>
    <t>Quản lý nhập kho</t>
  </si>
  <si>
    <t>Quản lý xuất kho</t>
  </si>
  <si>
    <t>Import  tồn kho</t>
  </si>
  <si>
    <t>Tra cứu hàng tồn kho</t>
  </si>
  <si>
    <t>Báo cáo tồn kho theo phiếu nhập</t>
  </si>
  <si>
    <t>Báo cáo chi tiết nhập mua hàng</t>
  </si>
  <si>
    <t>Báo cáo bán hàng tại cảng</t>
  </si>
  <si>
    <t>App mobile</t>
  </si>
  <si>
    <t>Đặt hàng</t>
  </si>
  <si>
    <t>Tính lương SL</t>
  </si>
  <si>
    <t xml:space="preserve">tính lương cho sales theo quy chế hiện hành </t>
  </si>
  <si>
    <t xml:space="preserve">quản lý khách hàng </t>
  </si>
  <si>
    <t>kiểm tra tính trùng lặp thông tin, cảnh báo trùng khách cho sales nội và quốc tế</t>
  </si>
  <si>
    <t xml:space="preserve">có các mục theo dõi ngày nợ tuổi nợ - ngày thực hiện HĐ oder ( thời gian giao nhận hàng- thời gian đặt cọc…)  XK để đánh giá mức độ tăng điểm/ hạ điểm của KH </t>
  </si>
  <si>
    <t>khai báo dữ liệu khách hàng để đánh giá phân loại KH( sx- tm, quy mô, tiềm năng, chủng loại hàng hóa sử dụng…)</t>
  </si>
  <si>
    <t>quản lý các fwd</t>
  </si>
  <si>
    <t xml:space="preserve">tạo trường khai báo thông tin cho các fwd, sau khi đánh giá năng lực sẽ cho 1 acc phân quyền để fwd tự update cước hàng tháng theo đầy đủ các trường tt att yêu cầu </t>
  </si>
  <si>
    <t xml:space="preserve">sau khi khai báo cước sẽ được update fwd lọt top, đẩy thông báo lần 2, fwd có quyền sửa lại báo giá </t>
  </si>
  <si>
    <t>sau khi sales chốt đơn hàng căn cứ trên báo giá lần 2, att sẽ báo mail lần 2 để chọn fwd lấy booking</t>
  </si>
  <si>
    <t>quản lý hàng mua FOB, FCR,,,,hiện trạng lô hàng</t>
  </si>
  <si>
    <t>oder</t>
  </si>
  <si>
    <t xml:space="preserve">quản lý thời gian giao hàng của oder đã chốt chưa giao </t>
  </si>
  <si>
    <t xml:space="preserve">Phản ánh </t>
  </si>
  <si>
    <t>chưa thấy có</t>
  </si>
  <si>
    <t xml:space="preserve">chưa sử dụng được </t>
  </si>
  <si>
    <t>cần sửa lại thêm phần giá bán tạm tính , … giống như pakd</t>
  </si>
  <si>
    <t xml:space="preserve">như att cũ </t>
  </si>
  <si>
    <t>tính năng duyệt pakd ngay trên navi, khi có báo giá và bid ng chốt uptt lên 1 trường khai báo, sẽ nhảy ra lợi nhuận tạm tính, có các mục khai báo lãi xuất, tuổi nợ …. PKT vào duyệt là xong duyệt PO</t>
  </si>
  <si>
    <t>ok, cần bổ sung thêm TH giá khi chưa có oder</t>
  </si>
  <si>
    <t>ok, chỉnh lại màn hình giao diện cho người quản lý và phân quyền lại ( đã trao đổi trực tiếp với Hường- chưa thấy sửa)</t>
  </si>
  <si>
    <t xml:space="preserve">ok, </t>
  </si>
  <si>
    <t xml:space="preserve">chưa tra cứu được tồn kho </t>
  </si>
  <si>
    <t>sẽ check lại sau khi hoàn thành các mẫu báo cáo đã yêu câu f</t>
  </si>
  <si>
    <t xml:space="preserve">chưa thực hiện được chức năng tìm kiếm, </t>
  </si>
  <si>
    <t>ATZ check</t>
  </si>
  <si>
    <t>chưa dùng được vì chưa có phần sales thao tác</t>
  </si>
  <si>
    <t>Navi bổ sung</t>
  </si>
  <si>
    <t>Hệ thống cho phép khai báo định mức thời gian đối với từng loại shipment
ATT cũ không có</t>
  </si>
  <si>
    <t>Thông báo công việc tới từng đối tượng cụ thể được phân quyền 
ATT cũ không có</t>
  </si>
  <si>
    <t>Phân quyền thông báo, xử lý, duyệt tới từng user đối với shipment, order, Po, Kho
ATT cũ không có</t>
  </si>
  <si>
    <t xml:space="preserve">SC bổ sung thêm phần timeline của shipment.
</t>
  </si>
  <si>
    <t>Hiện tại Navisoft đã update mã sản phẩm theo chuẩn bravo. ATT check lại trên phần mềm</t>
  </si>
  <si>
    <t>ATT cũ không có</t>
  </si>
  <si>
    <t>ATT cũ không có chức năng duyệt và thông báo cho kho</t>
  </si>
  <si>
    <t>SC đã có chức năng ATT check lại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</si>
</sst>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 #,##0.00_-;_-* &quot;-&quot;??_-;_-@_-"/>
    <numFmt numFmtId="165" formatCode="_(* #,##0_);_(* \(#,##0\);_(* &quot;-&quot;??_);_(@_)"/>
  </numFmts>
  <fonts count="20" x14ac:knownFonts="1">
    <font>
      <sz val="11"/>
      <color theme="1"/>
      <name val="Calibri"/>
      <family val="2"/>
      <scheme val="minor"/>
    </font>
    <font>
      <b/>
      <sz val="11"/>
      <color theme="1"/>
      <name val="Times New Roman"/>
      <family val="1"/>
    </font>
    <font>
      <sz val="11"/>
      <color theme="1"/>
      <name val="Times New Roman"/>
      <family val="1"/>
    </font>
    <font>
      <sz val="11"/>
      <name val="Times New Roman"/>
      <family val="1"/>
    </font>
    <font>
      <b/>
      <sz val="15"/>
      <color theme="1"/>
      <name val="Times New Roman"/>
      <family val="1"/>
    </font>
    <font>
      <b/>
      <sz val="12"/>
      <color theme="1"/>
      <name val="Times New Roman"/>
      <family val="1"/>
    </font>
    <font>
      <u/>
      <sz val="11"/>
      <color theme="10"/>
      <name val="Calibri"/>
      <family val="2"/>
      <scheme val="minor"/>
    </font>
    <font>
      <b/>
      <sz val="11"/>
      <color theme="1"/>
      <name val="Calibri"/>
      <family val="2"/>
      <scheme val="minor"/>
    </font>
    <font>
      <sz val="10"/>
      <color theme="1"/>
      <name val="Calibri Light"/>
      <family val="1"/>
      <scheme val="major"/>
    </font>
    <font>
      <sz val="11"/>
      <color theme="1"/>
      <name val="Calibri Light"/>
      <family val="1"/>
      <scheme val="major"/>
    </font>
    <font>
      <sz val="12"/>
      <color theme="1"/>
      <name val="Calibri Light"/>
      <family val="1"/>
      <scheme val="major"/>
    </font>
    <font>
      <sz val="11"/>
      <color rgb="FFFF0000"/>
      <name val="Times New Roman"/>
      <family val="1"/>
    </font>
    <font>
      <sz val="11"/>
      <color rgb="FFFF0000"/>
      <name val="Calibri Light"/>
      <family val="2"/>
      <scheme val="major"/>
    </font>
    <font>
      <b/>
      <sz val="11"/>
      <name val="Times New Roman"/>
      <family val="1"/>
    </font>
    <font>
      <u/>
      <sz val="11"/>
      <color theme="10"/>
      <name val="Times New Roman"/>
      <family val="1"/>
    </font>
    <font>
      <b/>
      <sz val="11"/>
      <color indexed="8"/>
      <name val="Calibri"/>
      <family val="2"/>
    </font>
    <font>
      <b/>
      <sz val="11"/>
      <color indexed="8"/>
      <name val="Cambria"/>
      <family val="1"/>
    </font>
    <font>
      <sz val="11"/>
      <color indexed="8"/>
      <name val="Calibri"/>
      <family val="2"/>
    </font>
    <font>
      <sz val="10"/>
      <color indexed="8"/>
      <name val="Cambria"/>
      <family val="1"/>
    </font>
    <font>
      <b/>
      <sz val="11"/>
      <name val="Cambria"/>
      <family val="1"/>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indexed="13"/>
        <bgColor indexed="64"/>
      </patternFill>
    </fill>
    <fill>
      <patternFill patternType="solid">
        <fgColor indexed="51"/>
        <bgColor indexed="64"/>
      </patternFill>
    </fill>
    <fill>
      <patternFill patternType="solid">
        <fgColor indexed="9"/>
        <bgColor indexed="64"/>
      </patternFill>
    </fill>
    <fill>
      <patternFill patternType="solid">
        <fgColor rgb="FFFFC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diagonal/>
    </border>
  </borders>
  <cellStyleXfs count="3">
    <xf numFmtId="0" fontId="0" fillId="0" borderId="0"/>
    <xf numFmtId="0" fontId="6" fillId="0" borderId="0" applyNumberFormat="0" applyFill="0" applyBorder="0" applyAlignment="0" applyProtection="0"/>
    <xf numFmtId="164" fontId="17" fillId="0" borderId="0" applyFont="0" applyFill="0" applyBorder="0" applyAlignment="0" applyProtection="0"/>
  </cellStyleXfs>
  <cellXfs count="176">
    <xf numFmtId="0" fontId="0" fillId="0" borderId="0" xfId="0"/>
    <xf numFmtId="0" fontId="2" fillId="0" borderId="0" xfId="0" applyFont="1" applyAlignment="1">
      <alignment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16" fontId="1" fillId="3" borderId="1" xfId="0" applyNumberFormat="1" applyFont="1" applyFill="1" applyBorder="1" applyAlignment="1">
      <alignment horizontal="center" vertical="center" wrapText="1"/>
    </xf>
    <xf numFmtId="14" fontId="2" fillId="0" borderId="1" xfId="0" applyNumberFormat="1" applyFont="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center" vertical="center" wrapText="1"/>
    </xf>
    <xf numFmtId="0" fontId="2" fillId="0" borderId="1" xfId="0" applyFont="1" applyBorder="1" applyAlignment="1">
      <alignment horizontal="justify" vertical="center" wrapText="1"/>
    </xf>
    <xf numFmtId="0" fontId="0" fillId="0" borderId="1" xfId="0" applyBorder="1"/>
    <xf numFmtId="0" fontId="0" fillId="0" borderId="1" xfId="0" applyBorder="1" applyAlignment="1">
      <alignment horizontal="center"/>
    </xf>
    <xf numFmtId="0" fontId="0" fillId="0" borderId="1" xfId="0" applyBorder="1" applyAlignment="1">
      <alignment horizontal="center" wrapText="1"/>
    </xf>
    <xf numFmtId="0" fontId="0" fillId="0" borderId="1" xfId="0" applyFill="1" applyBorder="1"/>
    <xf numFmtId="0" fontId="0" fillId="0" borderId="0" xfId="0" applyAlignment="1">
      <alignment horizontal="center"/>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vertical="center" wrapText="1"/>
    </xf>
    <xf numFmtId="0" fontId="2" fillId="0" borderId="6" xfId="0" quotePrefix="1" applyFont="1" applyBorder="1" applyAlignment="1">
      <alignment vertical="center" wrapText="1"/>
    </xf>
    <xf numFmtId="0" fontId="2" fillId="0" borderId="6" xfId="0" applyFont="1" applyBorder="1" applyAlignment="1">
      <alignment horizontal="justify" vertical="center" wrapText="1"/>
    </xf>
    <xf numFmtId="14" fontId="2" fillId="0" borderId="6" xfId="0" applyNumberFormat="1" applyFont="1" applyBorder="1" applyAlignment="1">
      <alignment horizontal="center" vertical="center" wrapText="1"/>
    </xf>
    <xf numFmtId="0" fontId="5" fillId="0" borderId="0" xfId="0" applyFont="1" applyFill="1" applyBorder="1" applyAlignment="1">
      <alignment horizontal="center" vertical="center"/>
    </xf>
    <xf numFmtId="0" fontId="7" fillId="2" borderId="1" xfId="0" applyFont="1" applyFill="1" applyBorder="1" applyAlignment="1">
      <alignment horizontal="center"/>
    </xf>
    <xf numFmtId="14" fontId="2" fillId="0"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11" fillId="0" borderId="1" xfId="0" applyFont="1" applyBorder="1" applyAlignment="1">
      <alignment vertical="center" wrapText="1"/>
    </xf>
    <xf numFmtId="0" fontId="2" fillId="0" borderId="1" xfId="0" applyFont="1" applyBorder="1" applyAlignment="1">
      <alignment horizontal="justify" vertical="center" wrapText="1"/>
    </xf>
    <xf numFmtId="0" fontId="2" fillId="0" borderId="1" xfId="0" applyFont="1" applyBorder="1" applyAlignment="1">
      <alignment horizontal="left" vertical="center" wrapText="1"/>
    </xf>
    <xf numFmtId="0" fontId="11" fillId="0" borderId="1" xfId="0" applyFont="1" applyBorder="1" applyAlignment="1">
      <alignment horizontal="justify" vertical="center" wrapText="1"/>
    </xf>
    <xf numFmtId="14" fontId="2" fillId="0" borderId="1" xfId="0" applyNumberFormat="1" applyFont="1" applyBorder="1" applyAlignment="1">
      <alignment horizontal="center" vertical="center" wrapText="1"/>
    </xf>
    <xf numFmtId="0" fontId="10" fillId="0" borderId="1" xfId="0" quotePrefix="1" applyFont="1" applyFill="1" applyBorder="1" applyAlignment="1">
      <alignment vertical="center" wrapText="1"/>
    </xf>
    <xf numFmtId="0" fontId="9" fillId="0" borderId="1" xfId="0" quotePrefix="1" applyFont="1" applyFill="1" applyBorder="1" applyAlignment="1">
      <alignment vertical="center" wrapText="1"/>
    </xf>
    <xf numFmtId="0" fontId="8" fillId="0" borderId="1" xfId="0" applyFont="1" applyFill="1" applyBorder="1" applyAlignment="1">
      <alignment vertical="center"/>
    </xf>
    <xf numFmtId="0" fontId="2" fillId="0" borderId="1" xfId="0" quotePrefix="1" applyFont="1" applyBorder="1" applyAlignment="1">
      <alignment vertical="top" wrapText="1"/>
    </xf>
    <xf numFmtId="14" fontId="2" fillId="0" borderId="1" xfId="0" quotePrefix="1" applyNumberFormat="1" applyFont="1" applyBorder="1" applyAlignment="1">
      <alignment vertical="center" wrapText="1"/>
    </xf>
    <xf numFmtId="14" fontId="2" fillId="0" borderId="1" xfId="0" applyNumberFormat="1" applyFont="1" applyBorder="1" applyAlignment="1">
      <alignment vertical="top" wrapText="1"/>
    </xf>
    <xf numFmtId="0" fontId="3" fillId="4" borderId="1" xfId="0" applyFont="1" applyFill="1" applyBorder="1" applyAlignment="1">
      <alignment vertical="center" wrapText="1"/>
    </xf>
    <xf numFmtId="14" fontId="2" fillId="0" borderId="1" xfId="0" quotePrefix="1" applyNumberFormat="1" applyFont="1" applyBorder="1" applyAlignment="1">
      <alignment vertical="top" wrapText="1"/>
    </xf>
    <xf numFmtId="14" fontId="2" fillId="0" borderId="1" xfId="0" applyNumberFormat="1" applyFont="1" applyBorder="1" applyAlignment="1">
      <alignment horizontal="center" vertical="top" wrapText="1"/>
    </xf>
    <xf numFmtId="0" fontId="2" fillId="0" borderId="1" xfId="0" quotePrefix="1" applyFont="1" applyBorder="1" applyAlignment="1">
      <alignment horizontal="justify" vertical="center" wrapText="1"/>
    </xf>
    <xf numFmtId="14" fontId="2" fillId="0" borderId="1" xfId="0" quotePrefix="1" applyNumberFormat="1" applyFont="1" applyBorder="1" applyAlignment="1">
      <alignment horizontal="center" vertical="top" wrapText="1"/>
    </xf>
    <xf numFmtId="14" fontId="2" fillId="0" borderId="1" xfId="0" quotePrefix="1" applyNumberFormat="1" applyFont="1" applyBorder="1" applyAlignment="1">
      <alignment horizontal="center" vertical="top" wrapText="1"/>
    </xf>
    <xf numFmtId="0" fontId="2" fillId="0" borderId="1" xfId="0" applyFont="1" applyBorder="1" applyAlignment="1">
      <alignment horizontal="justify" vertical="top" wrapText="1"/>
    </xf>
    <xf numFmtId="0" fontId="2" fillId="4" borderId="1" xfId="0" applyFont="1" applyFill="1" applyBorder="1" applyAlignment="1">
      <alignment vertical="center" wrapText="1"/>
    </xf>
    <xf numFmtId="14" fontId="2" fillId="4" borderId="1" xfId="0" applyNumberFormat="1" applyFont="1" applyFill="1" applyBorder="1" applyAlignment="1">
      <alignment vertical="center" wrapText="1"/>
    </xf>
    <xf numFmtId="14" fontId="2" fillId="4"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3" fillId="0" borderId="1" xfId="0" quotePrefix="1" applyFont="1" applyBorder="1" applyAlignment="1">
      <alignment vertical="center" wrapText="1"/>
    </xf>
    <xf numFmtId="0" fontId="2" fillId="0" borderId="1" xfId="0" applyFont="1" applyFill="1" applyBorder="1" applyAlignment="1">
      <alignment vertical="center" wrapText="1"/>
    </xf>
    <xf numFmtId="14" fontId="2" fillId="0" borderId="1" xfId="0" applyNumberFormat="1" applyFont="1" applyFill="1" applyBorder="1" applyAlignment="1">
      <alignment vertical="center" wrapText="1"/>
    </xf>
    <xf numFmtId="14" fontId="2" fillId="0" borderId="1" xfId="0" applyNumberFormat="1" applyFont="1" applyFill="1" applyBorder="1" applyAlignment="1">
      <alignment horizontal="center" vertical="top" wrapText="1"/>
    </xf>
    <xf numFmtId="14" fontId="3" fillId="0" borderId="1" xfId="0" applyNumberFormat="1" applyFont="1" applyFill="1" applyBorder="1" applyAlignment="1">
      <alignment horizontal="center" vertical="center" wrapText="1"/>
    </xf>
    <xf numFmtId="0" fontId="3" fillId="0" borderId="1" xfId="0" applyFont="1" applyBorder="1" applyAlignment="1">
      <alignment vertical="center" wrapText="1"/>
    </xf>
    <xf numFmtId="14" fontId="2" fillId="0" borderId="1" xfId="0" applyNumberFormat="1" applyFont="1" applyBorder="1" applyAlignment="1">
      <alignment horizontal="center" vertical="center" wrapText="1"/>
    </xf>
    <xf numFmtId="16" fontId="2" fillId="0" borderId="1" xfId="0" quotePrefix="1" applyNumberFormat="1" applyFont="1" applyBorder="1" applyAlignment="1">
      <alignment vertical="center" wrapText="1"/>
    </xf>
    <xf numFmtId="14" fontId="2" fillId="0" borderId="1" xfId="0" applyNumberFormat="1" applyFont="1" applyBorder="1" applyAlignment="1">
      <alignment horizontal="center" vertical="center" wrapText="1"/>
    </xf>
    <xf numFmtId="0" fontId="7" fillId="0" borderId="1" xfId="0" applyFont="1" applyFill="1" applyBorder="1"/>
    <xf numFmtId="14" fontId="2" fillId="0" borderId="1" xfId="0" applyNumberFormat="1" applyFont="1" applyBorder="1" applyAlignment="1">
      <alignment horizontal="center" vertical="center" wrapText="1"/>
    </xf>
    <xf numFmtId="16" fontId="2" fillId="0" borderId="1" xfId="0" quotePrefix="1" applyNumberFormat="1" applyFont="1" applyBorder="1" applyAlignment="1">
      <alignment horizontal="center" vertical="center" wrapText="1"/>
    </xf>
    <xf numFmtId="0" fontId="2" fillId="0" borderId="0" xfId="0" applyFont="1"/>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2" borderId="1" xfId="0" quotePrefix="1" applyFont="1" applyFill="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14" fontId="2" fillId="2" borderId="1" xfId="0" applyNumberFormat="1" applyFont="1" applyFill="1" applyBorder="1" applyAlignment="1">
      <alignment vertical="center" wrapText="1"/>
    </xf>
    <xf numFmtId="0" fontId="2" fillId="2" borderId="0" xfId="0" applyFont="1" applyFill="1" applyAlignment="1">
      <alignment wrapText="1"/>
    </xf>
    <xf numFmtId="0" fontId="2" fillId="2" borderId="1" xfId="0" applyFont="1" applyFill="1" applyBorder="1" applyAlignment="1">
      <alignment horizontal="justify"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6" xfId="0" applyFont="1" applyFill="1" applyBorder="1" applyAlignment="1">
      <alignment horizontal="justify" vertical="center" wrapText="1"/>
    </xf>
    <xf numFmtId="14" fontId="2" fillId="2" borderId="6"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 xfId="0" applyFont="1" applyFill="1" applyBorder="1" applyAlignment="1">
      <alignment vertical="top" wrapText="1"/>
    </xf>
    <xf numFmtId="0" fontId="0" fillId="0" borderId="0" xfId="0" applyAlignment="1">
      <alignment wrapText="1"/>
    </xf>
    <xf numFmtId="0" fontId="0" fillId="0" borderId="0" xfId="0" applyAlignment="1">
      <alignment vertical="center" wrapText="1"/>
    </xf>
    <xf numFmtId="0" fontId="2" fillId="0" borderId="0" xfId="0" applyFont="1" applyAlignment="1">
      <alignment horizontal="center" wrapText="1"/>
    </xf>
    <xf numFmtId="0" fontId="2" fillId="0" borderId="0" xfId="0" applyFont="1" applyAlignment="1">
      <alignment horizontal="left" wrapText="1"/>
    </xf>
    <xf numFmtId="0" fontId="2" fillId="2" borderId="1" xfId="0" quotePrefix="1" applyFont="1" applyFill="1" applyBorder="1" applyAlignment="1">
      <alignment horizontal="left" vertical="center" wrapText="1"/>
    </xf>
    <xf numFmtId="0" fontId="2" fillId="2" borderId="7" xfId="0" applyFont="1" applyFill="1" applyBorder="1" applyAlignment="1">
      <alignment horizontal="justify" vertical="center" wrapText="1"/>
    </xf>
    <xf numFmtId="14" fontId="2" fillId="2" borderId="7" xfId="0" applyNumberFormat="1" applyFont="1" applyFill="1" applyBorder="1" applyAlignment="1">
      <alignment horizontal="center" vertical="center" wrapText="1"/>
    </xf>
    <xf numFmtId="0" fontId="2" fillId="2" borderId="1"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justify"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14" fontId="1" fillId="2" borderId="7" xfId="0" applyNumberFormat="1" applyFont="1" applyFill="1" applyBorder="1" applyAlignment="1">
      <alignment horizontal="center" vertical="center" wrapText="1"/>
    </xf>
    <xf numFmtId="14" fontId="1" fillId="2" borderId="1" xfId="0" applyNumberFormat="1" applyFont="1" applyFill="1" applyBorder="1" applyAlignment="1">
      <alignment vertical="center" wrapText="1"/>
    </xf>
    <xf numFmtId="0" fontId="1" fillId="2" borderId="0" xfId="0" applyFont="1" applyFill="1" applyAlignment="1">
      <alignment wrapText="1"/>
    </xf>
    <xf numFmtId="14" fontId="1" fillId="3" borderId="1" xfId="0" applyNumberFormat="1" applyFont="1" applyFill="1" applyBorder="1" applyAlignment="1">
      <alignment horizontal="center" vertical="center" wrapText="1"/>
    </xf>
    <xf numFmtId="14" fontId="2" fillId="0" borderId="0" xfId="0" applyNumberFormat="1" applyFont="1" applyAlignment="1">
      <alignment horizontal="center" wrapText="1"/>
    </xf>
    <xf numFmtId="14" fontId="2" fillId="0" borderId="0" xfId="0" applyNumberFormat="1" applyFont="1" applyAlignment="1">
      <alignment wrapText="1"/>
    </xf>
    <xf numFmtId="16" fontId="2" fillId="2" borderId="1" xfId="0" quotePrefix="1" applyNumberFormat="1" applyFont="1" applyFill="1" applyBorder="1" applyAlignment="1">
      <alignment horizontal="left" vertical="center" wrapText="1"/>
    </xf>
    <xf numFmtId="14" fontId="2" fillId="2" borderId="1" xfId="0" quotePrefix="1"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left" vertical="center" wrapText="1"/>
    </xf>
    <xf numFmtId="16" fontId="2" fillId="2" borderId="1" xfId="0" applyNumberFormat="1" applyFont="1" applyFill="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0" fillId="2" borderId="1" xfId="0" applyFill="1" applyBorder="1" applyAlignment="1">
      <alignment horizontal="center"/>
    </xf>
    <xf numFmtId="14" fontId="2" fillId="2" borderId="1" xfId="0" quotePrefix="1" applyNumberFormat="1" applyFont="1" applyFill="1" applyBorder="1" applyAlignment="1">
      <alignment vertical="center" wrapText="1"/>
    </xf>
    <xf numFmtId="0" fontId="16" fillId="6" borderId="1" xfId="0" applyFont="1" applyFill="1" applyBorder="1" applyAlignment="1">
      <alignment horizontal="center" vertical="center" wrapText="1"/>
    </xf>
    <xf numFmtId="0" fontId="18" fillId="7" borderId="1" xfId="0" quotePrefix="1" applyFont="1" applyFill="1" applyBorder="1" applyAlignment="1">
      <alignment vertical="center" wrapText="1"/>
    </xf>
    <xf numFmtId="0" fontId="18" fillId="0" borderId="1" xfId="0" quotePrefix="1" applyFont="1" applyFill="1" applyBorder="1" applyAlignment="1">
      <alignment horizontal="left" vertical="center" wrapText="1"/>
    </xf>
    <xf numFmtId="0" fontId="0" fillId="7" borderId="0" xfId="0" applyFill="1"/>
    <xf numFmtId="0" fontId="0" fillId="7" borderId="1" xfId="0" applyFill="1" applyBorder="1"/>
    <xf numFmtId="0" fontId="18" fillId="0" borderId="1" xfId="0" quotePrefix="1" applyFont="1" applyFill="1" applyBorder="1" applyAlignment="1">
      <alignment horizontal="center" vertical="center" wrapText="1"/>
    </xf>
    <xf numFmtId="165" fontId="18" fillId="7" borderId="1" xfId="2" applyNumberFormat="1" applyFont="1" applyFill="1" applyBorder="1" applyAlignment="1">
      <alignment horizontal="center" vertical="center"/>
    </xf>
    <xf numFmtId="0" fontId="18" fillId="0" borderId="1" xfId="0" quotePrefix="1" applyFont="1" applyFill="1" applyBorder="1" applyAlignment="1">
      <alignment vertical="center" wrapText="1"/>
    </xf>
    <xf numFmtId="0" fontId="18" fillId="0" borderId="7" xfId="0" applyFont="1" applyFill="1" applyBorder="1" applyAlignment="1">
      <alignment vertical="center" wrapText="1"/>
    </xf>
    <xf numFmtId="0" fontId="0" fillId="0" borderId="0" xfId="0" applyFont="1"/>
    <xf numFmtId="165" fontId="0" fillId="0" borderId="0" xfId="0" applyNumberFormat="1"/>
    <xf numFmtId="0" fontId="18" fillId="0" borderId="7" xfId="0" applyFont="1" applyFill="1" applyBorder="1" applyAlignment="1">
      <alignment horizontal="center" vertical="center" wrapText="1"/>
    </xf>
    <xf numFmtId="0" fontId="18" fillId="0" borderId="7" xfId="0" applyFont="1" applyFill="1" applyBorder="1" applyAlignment="1">
      <alignment horizontal="left" vertical="center" wrapText="1"/>
    </xf>
    <xf numFmtId="0" fontId="18" fillId="0" borderId="0" xfId="0" applyFont="1" applyFill="1" applyBorder="1" applyAlignment="1">
      <alignment horizontal="center" vertical="center" wrapText="1"/>
    </xf>
    <xf numFmtId="0" fontId="18" fillId="0" borderId="0" xfId="0" applyFont="1" applyFill="1" applyBorder="1" applyAlignment="1">
      <alignment horizontal="left" vertical="center" wrapText="1"/>
    </xf>
    <xf numFmtId="0" fontId="16" fillId="6"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18" fillId="0" borderId="1" xfId="0" applyFont="1" applyFill="1" applyBorder="1" applyAlignment="1">
      <alignment vertical="center" wrapText="1"/>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4" fontId="2" fillId="0" borderId="1" xfId="0" applyNumberFormat="1" applyFont="1" applyBorder="1" applyAlignment="1">
      <alignment horizontal="center" vertical="center" wrapText="1"/>
    </xf>
    <xf numFmtId="0" fontId="3"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14" fontId="2" fillId="4" borderId="1" xfId="0" quotePrefix="1" applyNumberFormat="1" applyFont="1" applyFill="1" applyBorder="1" applyAlignment="1">
      <alignment horizontal="center" vertical="center" wrapText="1"/>
    </xf>
    <xf numFmtId="14" fontId="2"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2" fillId="4" borderId="1" xfId="0" quotePrefix="1"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0" borderId="1" xfId="0" quotePrefix="1" applyNumberFormat="1" applyFont="1" applyBorder="1" applyAlignment="1">
      <alignment horizontal="center" vertical="top" wrapText="1"/>
    </xf>
    <xf numFmtId="14" fontId="2" fillId="4" borderId="1" xfId="0" applyNumberFormat="1" applyFont="1" applyFill="1" applyBorder="1" applyAlignment="1">
      <alignment horizontal="left" vertical="center" wrapText="1"/>
    </xf>
    <xf numFmtId="0" fontId="4" fillId="0" borderId="0" xfId="0" applyFont="1" applyFill="1" applyBorder="1" applyAlignment="1">
      <alignment horizontal="center" vertical="center" wrapText="1"/>
    </xf>
    <xf numFmtId="0" fontId="6" fillId="0" borderId="4" xfId="1" applyFill="1" applyBorder="1" applyAlignment="1">
      <alignment horizontal="center" vertical="center"/>
    </xf>
    <xf numFmtId="0" fontId="5" fillId="0" borderId="4" xfId="0" applyFont="1" applyFill="1" applyBorder="1" applyAlignment="1">
      <alignment horizontal="center" vertical="center"/>
    </xf>
    <xf numFmtId="0" fontId="2" fillId="0" borderId="1" xfId="0" applyFont="1" applyBorder="1" applyAlignment="1">
      <alignment horizontal="justify" vertical="center" wrapText="1"/>
    </xf>
    <xf numFmtId="0" fontId="2" fillId="0" borderId="1" xfId="0" applyFont="1" applyBorder="1" applyAlignment="1">
      <alignment horizontal="left" vertical="center" wrapText="1"/>
    </xf>
    <xf numFmtId="14" fontId="2" fillId="0" borderId="2"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0" fontId="2" fillId="0" borderId="0" xfId="0" applyFont="1" applyFill="1" applyBorder="1" applyAlignment="1">
      <alignment horizontal="left" vertical="center" wrapText="1"/>
    </xf>
    <xf numFmtId="0" fontId="14" fillId="0" borderId="4" xfId="1" applyFont="1" applyFill="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4" fillId="0" borderId="5" xfId="0" applyFont="1" applyFill="1" applyBorder="1" applyAlignment="1">
      <alignment horizontal="center" vertical="center" wrapText="1"/>
    </xf>
    <xf numFmtId="0" fontId="2" fillId="0" borderId="2" xfId="0" quotePrefix="1" applyFont="1" applyBorder="1" applyAlignment="1">
      <alignment horizontal="left" vertical="center" wrapText="1"/>
    </xf>
    <xf numFmtId="0" fontId="2" fillId="0" borderId="3" xfId="0" quotePrefix="1" applyFont="1" applyBorder="1" applyAlignment="1">
      <alignment horizontal="left" vertical="center" wrapText="1"/>
    </xf>
    <xf numFmtId="0" fontId="2" fillId="0" borderId="1" xfId="0" quotePrefix="1" applyFont="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0" xfId="0" applyFont="1" applyAlignment="1">
      <alignment horizont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18" fillId="0" borderId="1" xfId="0" quotePrefix="1"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center" vertical="center"/>
    </xf>
    <xf numFmtId="165" fontId="18" fillId="7" borderId="1" xfId="2" applyNumberFormat="1" applyFont="1" applyFill="1" applyBorder="1" applyAlignment="1">
      <alignment horizontal="center" vertical="center"/>
    </xf>
    <xf numFmtId="165" fontId="18" fillId="0" borderId="1" xfId="2" applyNumberFormat="1" applyFont="1" applyFill="1" applyBorder="1" applyAlignment="1">
      <alignment horizontal="center" vertical="center" wrapText="1"/>
    </xf>
    <xf numFmtId="0" fontId="18" fillId="0" borderId="2" xfId="0" quotePrefix="1" applyFont="1" applyFill="1" applyBorder="1" applyAlignment="1">
      <alignment horizontal="center" vertical="center" wrapText="1"/>
    </xf>
    <xf numFmtId="0" fontId="18" fillId="0" borderId="7" xfId="0" quotePrefix="1" applyFont="1" applyFill="1" applyBorder="1" applyAlignment="1">
      <alignment horizontal="center" vertical="center" wrapText="1"/>
    </xf>
    <xf numFmtId="0" fontId="18" fillId="0" borderId="3" xfId="0" quotePrefix="1" applyFont="1" applyFill="1" applyBorder="1" applyAlignment="1">
      <alignment horizontal="center" vertical="center" wrapText="1"/>
    </xf>
  </cellXfs>
  <cellStyles count="3">
    <cellStyle name="Comma 2" xfId="2"/>
    <cellStyle name="Hyperlink" xfId="1" builtinId="8"/>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38100</xdr:colOff>
      <xdr:row>99</xdr:row>
      <xdr:rowOff>581025</xdr:rowOff>
    </xdr:from>
    <xdr:to>
      <xdr:col>2</xdr:col>
      <xdr:colOff>3114675</xdr:colOff>
      <xdr:row>99</xdr:row>
      <xdr:rowOff>581025</xdr:rowOff>
    </xdr:to>
    <xdr:cxnSp macro="">
      <xdr:nvCxnSpPr>
        <xdr:cNvPr id="5" name="Straight Connector 4"/>
        <xdr:cNvCxnSpPr/>
      </xdr:nvCxnSpPr>
      <xdr:spPr>
        <a:xfrm>
          <a:off x="1857375" y="56997600"/>
          <a:ext cx="30765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98</xdr:row>
      <xdr:rowOff>581025</xdr:rowOff>
    </xdr:from>
    <xdr:to>
      <xdr:col>2</xdr:col>
      <xdr:colOff>3114675</xdr:colOff>
      <xdr:row>98</xdr:row>
      <xdr:rowOff>581025</xdr:rowOff>
    </xdr:to>
    <xdr:cxnSp macro="">
      <xdr:nvCxnSpPr>
        <xdr:cNvPr id="2" name="Straight Connector 1"/>
        <xdr:cNvCxnSpPr/>
      </xdr:nvCxnSpPr>
      <xdr:spPr>
        <a:xfrm>
          <a:off x="1857375" y="15373350"/>
          <a:ext cx="30765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98</xdr:row>
      <xdr:rowOff>581025</xdr:rowOff>
    </xdr:from>
    <xdr:to>
      <xdr:col>2</xdr:col>
      <xdr:colOff>3114675</xdr:colOff>
      <xdr:row>98</xdr:row>
      <xdr:rowOff>581025</xdr:rowOff>
    </xdr:to>
    <xdr:cxnSp macro="">
      <xdr:nvCxnSpPr>
        <xdr:cNvPr id="2" name="Straight Connector 1"/>
        <xdr:cNvCxnSpPr/>
      </xdr:nvCxnSpPr>
      <xdr:spPr>
        <a:xfrm>
          <a:off x="1857375" y="6029325"/>
          <a:ext cx="30765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7</xdr:col>
          <xdr:colOff>542925</xdr:colOff>
          <xdr:row>11</xdr:row>
          <xdr:rowOff>428625</xdr:rowOff>
        </xdr:from>
        <xdr:to>
          <xdr:col>7</xdr:col>
          <xdr:colOff>1323975</xdr:colOff>
          <xdr:row>11</xdr:row>
          <xdr:rowOff>942975</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39</xdr:row>
          <xdr:rowOff>409575</xdr:rowOff>
        </xdr:from>
        <xdr:to>
          <xdr:col>7</xdr:col>
          <xdr:colOff>1343025</xdr:colOff>
          <xdr:row>39</xdr:row>
          <xdr:rowOff>1095375</xdr:rowOff>
        </xdr:to>
        <xdr:sp macro="" textlink="">
          <xdr:nvSpPr>
            <xdr:cNvPr id="6146" name="Object 2" hidden="1">
              <a:extLst>
                <a:ext uri="{63B3BB69-23CF-44E3-9099-C40C66FF867C}">
                  <a14:compatExt spid="_x0000_s614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attonline.anthanhbicsol.com:628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attonline.anthanhbicsol.com:6286/"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attonline.anthanhbicsol.com:6286/" TargetMode="External"/></Relationships>
</file>

<file path=xl/worksheets/_rels/sheet5.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3.xml"/><Relationship Id="rId7" Type="http://schemas.openxmlformats.org/officeDocument/2006/relationships/package" Target="../embeddings/Microsoft_Word_Document.docx"/><Relationship Id="rId2" Type="http://schemas.openxmlformats.org/officeDocument/2006/relationships/printerSettings" Target="../printerSettings/printerSettings5.bin"/><Relationship Id="rId1" Type="http://schemas.openxmlformats.org/officeDocument/2006/relationships/hyperlink" Target="http://117.6.87.229:5353/"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zoomScale="145" zoomScaleNormal="145" workbookViewId="0">
      <selection activeCell="D14" sqref="D14"/>
    </sheetView>
  </sheetViews>
  <sheetFormatPr defaultRowHeight="15" x14ac:dyDescent="0.25"/>
  <cols>
    <col min="1" max="1" width="22.5703125" customWidth="1"/>
    <col min="2" max="2" width="19.85546875" style="16" bestFit="1" customWidth="1"/>
    <col min="3" max="3" width="28" style="16" customWidth="1"/>
  </cols>
  <sheetData>
    <row r="1" spans="1:3" x14ac:dyDescent="0.25">
      <c r="A1" s="24" t="s">
        <v>130</v>
      </c>
      <c r="B1" s="24" t="s">
        <v>124</v>
      </c>
      <c r="C1" s="24" t="s">
        <v>242</v>
      </c>
    </row>
    <row r="2" spans="1:3" x14ac:dyDescent="0.25">
      <c r="A2" s="12" t="s">
        <v>14</v>
      </c>
      <c r="B2" s="13" t="s">
        <v>129</v>
      </c>
      <c r="C2" s="14" t="s">
        <v>129</v>
      </c>
    </row>
    <row r="3" spans="1:3" x14ac:dyDescent="0.25">
      <c r="A3" s="12" t="s">
        <v>125</v>
      </c>
      <c r="B3" s="13" t="s">
        <v>129</v>
      </c>
      <c r="C3" s="13" t="s">
        <v>129</v>
      </c>
    </row>
    <row r="4" spans="1:3" x14ac:dyDescent="0.25">
      <c r="A4" s="12" t="s">
        <v>126</v>
      </c>
      <c r="B4" s="13"/>
      <c r="C4" s="13" t="s">
        <v>129</v>
      </c>
    </row>
    <row r="5" spans="1:3" x14ac:dyDescent="0.25">
      <c r="A5" s="12" t="s">
        <v>128</v>
      </c>
      <c r="B5" s="13"/>
      <c r="C5" s="109" t="s">
        <v>129</v>
      </c>
    </row>
    <row r="6" spans="1:3" x14ac:dyDescent="0.25">
      <c r="A6" s="12" t="s">
        <v>127</v>
      </c>
      <c r="B6" s="13"/>
      <c r="C6" s="13" t="s">
        <v>129</v>
      </c>
    </row>
    <row r="7" spans="1:3" x14ac:dyDescent="0.25">
      <c r="A7" s="12" t="s">
        <v>31</v>
      </c>
      <c r="B7" s="13"/>
      <c r="C7" s="13" t="s">
        <v>129</v>
      </c>
    </row>
    <row r="8" spans="1:3" x14ac:dyDescent="0.25">
      <c r="A8" s="12" t="s">
        <v>133</v>
      </c>
      <c r="B8" s="13"/>
      <c r="C8" s="13" t="s">
        <v>129</v>
      </c>
    </row>
    <row r="9" spans="1:3" x14ac:dyDescent="0.25">
      <c r="A9" s="15" t="s">
        <v>94</v>
      </c>
      <c r="B9" s="13" t="s">
        <v>240</v>
      </c>
      <c r="C9" s="13" t="s">
        <v>241</v>
      </c>
    </row>
    <row r="10" spans="1:3" x14ac:dyDescent="0.25">
      <c r="A10" s="12" t="s">
        <v>12</v>
      </c>
      <c r="B10" s="13"/>
      <c r="C10" s="13" t="s">
        <v>129</v>
      </c>
    </row>
    <row r="11" spans="1:3" x14ac:dyDescent="0.25">
      <c r="A11" s="12" t="s">
        <v>13</v>
      </c>
      <c r="B11" s="13"/>
      <c r="C11" s="13" t="s">
        <v>129</v>
      </c>
    </row>
    <row r="12" spans="1:3" x14ac:dyDescent="0.25">
      <c r="A12" s="12" t="s">
        <v>51</v>
      </c>
      <c r="B12" s="13"/>
      <c r="C12" s="13" t="s">
        <v>129</v>
      </c>
    </row>
    <row r="13" spans="1:3" x14ac:dyDescent="0.25">
      <c r="A13" s="12" t="s">
        <v>15</v>
      </c>
      <c r="B13" s="13"/>
      <c r="C13" s="13" t="s">
        <v>129</v>
      </c>
    </row>
    <row r="14" spans="1:3" x14ac:dyDescent="0.25">
      <c r="A14" s="59" t="s">
        <v>194</v>
      </c>
      <c r="B14" s="13"/>
      <c r="C14" s="13" t="s">
        <v>129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109"/>
  <sheetViews>
    <sheetView zoomScale="130" zoomScaleNormal="130" workbookViewId="0">
      <pane xSplit="2" ySplit="3" topLeftCell="H9" activePane="bottomRight" state="frozen"/>
      <selection activeCell="A14" sqref="A14"/>
      <selection pane="topRight" activeCell="A14" sqref="A14"/>
      <selection pane="bottomLeft" activeCell="A14" sqref="A14"/>
      <selection pane="bottomRight" activeCell="L108" sqref="L108"/>
    </sheetView>
  </sheetViews>
  <sheetFormatPr defaultColWidth="8.85546875" defaultRowHeight="15" x14ac:dyDescent="0.25"/>
  <cols>
    <col min="1" max="1" width="8.28515625" style="5" customWidth="1"/>
    <col min="2" max="2" width="17.42578125" style="5" customWidth="1"/>
    <col min="3" max="3" width="74.85546875" style="5" customWidth="1"/>
    <col min="4" max="4" width="12.28515625" style="5" customWidth="1"/>
    <col min="5" max="5" width="8" style="5" customWidth="1"/>
    <col min="6" max="6" width="9.28515625" style="5" customWidth="1"/>
    <col min="7" max="7" width="13.7109375" style="10" customWidth="1"/>
    <col min="8" max="8" width="14.42578125" style="10" customWidth="1"/>
    <col min="9" max="9" width="47" style="5" hidden="1" customWidth="1"/>
    <col min="10" max="10" width="47" style="5" customWidth="1"/>
    <col min="11" max="12" width="27.140625" style="5" customWidth="1"/>
    <col min="13" max="16384" width="8.85546875" style="5"/>
  </cols>
  <sheetData>
    <row r="1" spans="1:12" ht="19.5" hidden="1" x14ac:dyDescent="0.25">
      <c r="A1" s="148" t="s">
        <v>49</v>
      </c>
      <c r="B1" s="148"/>
      <c r="C1" s="148"/>
      <c r="D1" s="148"/>
      <c r="E1" s="148"/>
      <c r="F1" s="148"/>
      <c r="G1" s="148"/>
      <c r="H1" s="23"/>
    </row>
    <row r="2" spans="1:12" ht="15.75" hidden="1" x14ac:dyDescent="0.25">
      <c r="A2" s="149" t="s">
        <v>257</v>
      </c>
      <c r="B2" s="150"/>
      <c r="C2" s="150"/>
      <c r="D2" s="150"/>
      <c r="E2" s="150"/>
      <c r="F2" s="150"/>
      <c r="G2" s="150"/>
    </row>
    <row r="3" spans="1:12" ht="27" customHeight="1" x14ac:dyDescent="0.25">
      <c r="A3" s="2" t="s">
        <v>0</v>
      </c>
      <c r="B3" s="2" t="s">
        <v>123</v>
      </c>
      <c r="C3" s="7" t="s">
        <v>83</v>
      </c>
      <c r="D3" s="2" t="s">
        <v>72</v>
      </c>
      <c r="E3" s="2" t="s">
        <v>84</v>
      </c>
      <c r="F3" s="2" t="s">
        <v>120</v>
      </c>
      <c r="G3" s="2" t="s">
        <v>115</v>
      </c>
      <c r="H3" s="2" t="s">
        <v>185</v>
      </c>
      <c r="I3" s="2" t="s">
        <v>116</v>
      </c>
      <c r="J3" s="2" t="s">
        <v>353</v>
      </c>
      <c r="K3" s="2" t="s">
        <v>347</v>
      </c>
      <c r="L3" s="2" t="s">
        <v>107</v>
      </c>
    </row>
    <row r="4" spans="1:12" ht="30" hidden="1" x14ac:dyDescent="0.25">
      <c r="A4" s="134" t="s">
        <v>1</v>
      </c>
      <c r="B4" s="3" t="s">
        <v>2</v>
      </c>
      <c r="C4" s="3"/>
      <c r="D4" s="3"/>
      <c r="E4" s="3"/>
      <c r="F4" s="3"/>
      <c r="G4" s="17"/>
      <c r="H4" s="32"/>
      <c r="I4" s="17"/>
      <c r="J4" s="67"/>
      <c r="K4" s="67"/>
      <c r="L4" s="108"/>
    </row>
    <row r="5" spans="1:12" ht="30" hidden="1" x14ac:dyDescent="0.25">
      <c r="A5" s="134"/>
      <c r="B5" s="134" t="s">
        <v>33</v>
      </c>
      <c r="C5" s="50" t="s">
        <v>197</v>
      </c>
      <c r="D5" s="3"/>
      <c r="E5" s="3"/>
      <c r="F5" s="3"/>
      <c r="G5" s="17">
        <v>43481</v>
      </c>
      <c r="H5" s="32" t="s">
        <v>108</v>
      </c>
      <c r="I5" s="17"/>
      <c r="J5" s="67"/>
      <c r="K5" s="67"/>
      <c r="L5" s="108"/>
    </row>
    <row r="6" spans="1:12" hidden="1" x14ac:dyDescent="0.25">
      <c r="A6" s="134"/>
      <c r="B6" s="134"/>
      <c r="C6" s="50" t="s">
        <v>202</v>
      </c>
      <c r="D6" s="3"/>
      <c r="E6" s="3" t="s">
        <v>138</v>
      </c>
      <c r="F6" s="3" t="s">
        <v>137</v>
      </c>
      <c r="G6" s="17">
        <v>43480</v>
      </c>
      <c r="H6" s="32" t="s">
        <v>108</v>
      </c>
      <c r="I6" s="17"/>
      <c r="J6" s="67"/>
      <c r="K6" s="67"/>
      <c r="L6" s="108"/>
    </row>
    <row r="7" spans="1:12" hidden="1" x14ac:dyDescent="0.25">
      <c r="A7" s="134"/>
      <c r="B7" s="27"/>
      <c r="C7" s="50" t="s">
        <v>243</v>
      </c>
      <c r="D7" s="3"/>
      <c r="E7" s="3" t="s">
        <v>138</v>
      </c>
      <c r="F7" s="3" t="s">
        <v>137</v>
      </c>
      <c r="G7" s="56">
        <v>43480</v>
      </c>
      <c r="H7" s="60" t="s">
        <v>108</v>
      </c>
      <c r="I7" s="32"/>
      <c r="J7" s="67"/>
      <c r="K7" s="67"/>
      <c r="L7" s="108"/>
    </row>
    <row r="8" spans="1:12" ht="45" hidden="1" x14ac:dyDescent="0.25">
      <c r="A8" s="134"/>
      <c r="B8" s="3" t="s">
        <v>34</v>
      </c>
      <c r="C8" s="3"/>
      <c r="D8" s="3"/>
      <c r="E8" s="3"/>
      <c r="F8" s="3"/>
      <c r="G8" s="17"/>
      <c r="H8" s="32" t="s">
        <v>108</v>
      </c>
      <c r="I8" s="17"/>
      <c r="J8" s="67"/>
      <c r="K8" s="67"/>
      <c r="L8" s="108"/>
    </row>
    <row r="9" spans="1:12" ht="105" x14ac:dyDescent="0.25">
      <c r="A9" s="18" t="s">
        <v>147</v>
      </c>
      <c r="B9" s="3"/>
      <c r="C9" s="4" t="s">
        <v>148</v>
      </c>
      <c r="D9" s="3"/>
      <c r="E9" s="3" t="s">
        <v>137</v>
      </c>
      <c r="F9" s="3" t="s">
        <v>138</v>
      </c>
      <c r="G9" s="17">
        <v>43473</v>
      </c>
      <c r="H9" s="32" t="s">
        <v>108</v>
      </c>
      <c r="I9" s="17"/>
      <c r="J9" s="102" t="s">
        <v>350</v>
      </c>
      <c r="K9" s="102" t="s">
        <v>360</v>
      </c>
      <c r="L9" s="102" t="s">
        <v>108</v>
      </c>
    </row>
    <row r="10" spans="1:12" ht="99.75" hidden="1" customHeight="1" x14ac:dyDescent="0.25">
      <c r="A10" s="134" t="s">
        <v>51</v>
      </c>
      <c r="B10" s="134" t="s">
        <v>53</v>
      </c>
      <c r="C10" s="3" t="s">
        <v>162</v>
      </c>
      <c r="D10" s="3"/>
      <c r="E10" s="3" t="s">
        <v>137</v>
      </c>
      <c r="F10" s="3" t="s">
        <v>163</v>
      </c>
      <c r="G10" s="17">
        <v>43474</v>
      </c>
      <c r="H10" s="32" t="s">
        <v>108</v>
      </c>
      <c r="I10" s="17"/>
      <c r="J10" s="67"/>
      <c r="K10" s="67"/>
      <c r="L10" s="108"/>
    </row>
    <row r="11" spans="1:12" ht="30" hidden="1" x14ac:dyDescent="0.25">
      <c r="A11" s="134"/>
      <c r="B11" s="134"/>
      <c r="C11" s="28" t="s">
        <v>199</v>
      </c>
      <c r="D11" s="3"/>
      <c r="E11" s="3"/>
      <c r="F11" s="3"/>
      <c r="G11" s="17">
        <v>43481</v>
      </c>
      <c r="H11" s="32" t="s">
        <v>108</v>
      </c>
      <c r="I11" s="17"/>
      <c r="J11" s="67"/>
      <c r="K11" s="67"/>
      <c r="L11" s="108"/>
    </row>
    <row r="12" spans="1:12" ht="89.25" hidden="1" customHeight="1" x14ac:dyDescent="0.25">
      <c r="A12" s="134"/>
      <c r="B12" s="3" t="s">
        <v>3</v>
      </c>
      <c r="C12" s="28" t="s">
        <v>232</v>
      </c>
      <c r="D12" s="57" t="s">
        <v>250</v>
      </c>
      <c r="E12" s="3" t="s">
        <v>181</v>
      </c>
      <c r="F12" s="3" t="s">
        <v>137</v>
      </c>
      <c r="G12" s="17">
        <v>43479</v>
      </c>
      <c r="H12" s="41" t="s">
        <v>108</v>
      </c>
      <c r="I12" s="17"/>
      <c r="J12" s="67"/>
      <c r="K12" s="67"/>
      <c r="L12" s="108"/>
    </row>
    <row r="13" spans="1:12" hidden="1" x14ac:dyDescent="0.25">
      <c r="A13" s="134"/>
      <c r="B13" s="3" t="s">
        <v>30</v>
      </c>
      <c r="C13" s="11"/>
      <c r="D13" s="17"/>
      <c r="E13" s="3"/>
      <c r="F13" s="3"/>
      <c r="G13" s="17"/>
      <c r="H13" s="32"/>
      <c r="I13" s="17"/>
      <c r="J13" s="67"/>
      <c r="K13" s="67"/>
      <c r="L13" s="108"/>
    </row>
    <row r="14" spans="1:12" hidden="1" x14ac:dyDescent="0.25">
      <c r="A14" s="134" t="s">
        <v>5</v>
      </c>
      <c r="B14" s="51" t="s">
        <v>6</v>
      </c>
      <c r="C14" s="3" t="s">
        <v>235</v>
      </c>
      <c r="D14" s="3"/>
      <c r="E14" s="3"/>
      <c r="F14" s="3"/>
      <c r="G14" s="17"/>
      <c r="H14" s="32" t="s">
        <v>108</v>
      </c>
      <c r="I14" s="17"/>
      <c r="J14" s="67"/>
      <c r="K14" s="67"/>
      <c r="L14" s="108"/>
    </row>
    <row r="15" spans="1:12" hidden="1" x14ac:dyDescent="0.25">
      <c r="A15" s="134"/>
      <c r="B15" s="51" t="s">
        <v>7</v>
      </c>
      <c r="C15" s="3" t="s">
        <v>235</v>
      </c>
      <c r="D15" s="3"/>
      <c r="E15" s="3"/>
      <c r="F15" s="3"/>
      <c r="G15" s="17"/>
      <c r="H15" s="32" t="s">
        <v>108</v>
      </c>
      <c r="I15" s="17"/>
      <c r="J15" s="67"/>
      <c r="K15" s="67"/>
      <c r="L15" s="108"/>
    </row>
    <row r="16" spans="1:12" hidden="1" x14ac:dyDescent="0.25">
      <c r="A16" s="134"/>
      <c r="B16" s="51" t="s">
        <v>8</v>
      </c>
      <c r="C16" s="3"/>
      <c r="D16" s="3"/>
      <c r="E16" s="3"/>
      <c r="F16" s="3"/>
      <c r="G16" s="17"/>
      <c r="H16" s="32"/>
      <c r="I16" s="17"/>
      <c r="J16" s="67"/>
      <c r="K16" s="67"/>
      <c r="L16" s="108"/>
    </row>
    <row r="17" spans="1:12" hidden="1" x14ac:dyDescent="0.25">
      <c r="A17" s="134"/>
      <c r="B17" s="51" t="s">
        <v>9</v>
      </c>
      <c r="C17" s="3" t="s">
        <v>235</v>
      </c>
      <c r="D17" s="3"/>
      <c r="E17" s="3"/>
      <c r="F17" s="3"/>
      <c r="G17" s="17"/>
      <c r="H17" s="32" t="s">
        <v>108</v>
      </c>
      <c r="I17" s="17"/>
      <c r="J17" s="67"/>
      <c r="K17" s="67"/>
      <c r="L17" s="108"/>
    </row>
    <row r="18" spans="1:12" hidden="1" x14ac:dyDescent="0.25">
      <c r="A18" s="134"/>
      <c r="B18" s="51" t="s">
        <v>10</v>
      </c>
      <c r="C18" s="3"/>
      <c r="D18" s="3"/>
      <c r="E18" s="3"/>
      <c r="F18" s="3"/>
      <c r="G18" s="17"/>
      <c r="H18" s="32"/>
      <c r="I18" s="17"/>
      <c r="J18" s="67"/>
      <c r="K18" s="67"/>
      <c r="L18" s="108"/>
    </row>
    <row r="19" spans="1:12" hidden="1" x14ac:dyDescent="0.25">
      <c r="A19" s="134"/>
      <c r="B19" s="51" t="s">
        <v>11</v>
      </c>
      <c r="C19" s="3" t="s">
        <v>235</v>
      </c>
      <c r="D19" s="3"/>
      <c r="E19" s="3"/>
      <c r="F19" s="3"/>
      <c r="G19" s="17"/>
      <c r="H19" s="32" t="s">
        <v>108</v>
      </c>
      <c r="I19" s="17"/>
      <c r="J19" s="67"/>
      <c r="K19" s="67"/>
      <c r="L19" s="108"/>
    </row>
    <row r="20" spans="1:12" ht="30" hidden="1" x14ac:dyDescent="0.25">
      <c r="A20" s="134"/>
      <c r="B20" s="3" t="s">
        <v>35</v>
      </c>
      <c r="C20" s="3"/>
      <c r="D20" s="3"/>
      <c r="E20" s="3"/>
      <c r="F20" s="3"/>
      <c r="G20" s="17"/>
      <c r="H20" s="32"/>
      <c r="I20" s="17"/>
      <c r="J20" s="67"/>
      <c r="K20" s="67"/>
      <c r="L20" s="108"/>
    </row>
    <row r="21" spans="1:12" ht="45" hidden="1" x14ac:dyDescent="0.25">
      <c r="A21" s="134"/>
      <c r="B21" s="3" t="s">
        <v>36</v>
      </c>
      <c r="C21" s="3"/>
      <c r="D21" s="3"/>
      <c r="E21" s="3"/>
      <c r="F21" s="3"/>
      <c r="G21" s="17"/>
      <c r="H21" s="32"/>
      <c r="I21" s="17"/>
      <c r="J21" s="67"/>
      <c r="K21" s="67"/>
      <c r="L21" s="108"/>
    </row>
    <row r="22" spans="1:12" ht="78.75" customHeight="1" x14ac:dyDescent="0.25">
      <c r="A22" s="134" t="s">
        <v>12</v>
      </c>
      <c r="B22" s="151" t="s">
        <v>136</v>
      </c>
      <c r="C22" s="4" t="s">
        <v>145</v>
      </c>
      <c r="D22" s="3"/>
      <c r="E22" s="3" t="s">
        <v>137</v>
      </c>
      <c r="F22" s="3" t="s">
        <v>138</v>
      </c>
      <c r="G22" s="17">
        <v>43473</v>
      </c>
      <c r="H22" s="32" t="s">
        <v>108</v>
      </c>
      <c r="I22" s="17"/>
      <c r="J22" s="103" t="s">
        <v>338</v>
      </c>
      <c r="K22" s="104" t="s">
        <v>351</v>
      </c>
      <c r="L22" s="104"/>
    </row>
    <row r="23" spans="1:12" ht="45" hidden="1" x14ac:dyDescent="0.25">
      <c r="A23" s="134"/>
      <c r="B23" s="151"/>
      <c r="C23" s="3" t="s">
        <v>139</v>
      </c>
      <c r="D23" s="3"/>
      <c r="E23" s="3" t="s">
        <v>138</v>
      </c>
      <c r="F23" s="3" t="s">
        <v>137</v>
      </c>
      <c r="G23" s="17">
        <v>43473</v>
      </c>
      <c r="H23" s="32" t="s">
        <v>258</v>
      </c>
      <c r="I23" s="17"/>
      <c r="J23" s="67"/>
      <c r="K23" s="67"/>
      <c r="L23" s="108"/>
    </row>
    <row r="24" spans="1:12" hidden="1" x14ac:dyDescent="0.25">
      <c r="A24" s="134"/>
      <c r="B24" s="3" t="s">
        <v>140</v>
      </c>
      <c r="C24" s="28" t="s">
        <v>198</v>
      </c>
      <c r="D24" s="3"/>
      <c r="E24" s="3"/>
      <c r="F24" s="3"/>
      <c r="G24" s="17">
        <v>43481</v>
      </c>
      <c r="H24" s="32" t="s">
        <v>108</v>
      </c>
      <c r="I24" s="17"/>
      <c r="J24" s="67"/>
      <c r="K24" s="67"/>
      <c r="L24" s="108"/>
    </row>
    <row r="25" spans="1:12" hidden="1" x14ac:dyDescent="0.25">
      <c r="A25" s="134"/>
      <c r="B25" s="3" t="s">
        <v>141</v>
      </c>
      <c r="C25" s="3"/>
      <c r="D25" s="3"/>
      <c r="E25" s="3"/>
      <c r="F25" s="3"/>
      <c r="G25" s="17"/>
      <c r="H25" s="32"/>
      <c r="I25" s="17"/>
      <c r="J25" s="67"/>
      <c r="K25" s="67"/>
      <c r="L25" s="108"/>
    </row>
    <row r="26" spans="1:12" hidden="1" x14ac:dyDescent="0.25">
      <c r="A26" s="134"/>
      <c r="B26" s="152" t="s">
        <v>142</v>
      </c>
      <c r="C26" s="3"/>
      <c r="D26" s="3"/>
      <c r="E26" s="3"/>
      <c r="F26" s="3"/>
      <c r="G26" s="17"/>
      <c r="H26" s="32"/>
      <c r="I26" s="17"/>
      <c r="J26" s="67"/>
      <c r="K26" s="67"/>
      <c r="L26" s="108"/>
    </row>
    <row r="27" spans="1:12" ht="30" hidden="1" x14ac:dyDescent="0.25">
      <c r="A27" s="134"/>
      <c r="B27" s="152"/>
      <c r="C27" s="3" t="s">
        <v>149</v>
      </c>
      <c r="D27" s="51"/>
      <c r="E27" s="3" t="s">
        <v>137</v>
      </c>
      <c r="F27" s="3" t="s">
        <v>138</v>
      </c>
      <c r="G27" s="17">
        <v>43473</v>
      </c>
      <c r="H27" s="32" t="s">
        <v>108</v>
      </c>
      <c r="I27" s="17"/>
      <c r="J27" s="67"/>
      <c r="K27" s="67"/>
      <c r="L27" s="108"/>
    </row>
    <row r="28" spans="1:12" ht="30" hidden="1" x14ac:dyDescent="0.25">
      <c r="A28" s="134"/>
      <c r="B28" s="152"/>
      <c r="C28" s="3" t="s">
        <v>146</v>
      </c>
      <c r="D28" s="51"/>
      <c r="E28" s="3" t="s">
        <v>137</v>
      </c>
      <c r="F28" s="3" t="s">
        <v>138</v>
      </c>
      <c r="G28" s="17">
        <v>43473</v>
      </c>
      <c r="H28" s="32" t="s">
        <v>108</v>
      </c>
      <c r="I28" s="17"/>
      <c r="J28" s="67"/>
      <c r="K28" s="67"/>
      <c r="L28" s="108"/>
    </row>
    <row r="29" spans="1:12" ht="22.5" customHeight="1" x14ac:dyDescent="0.25">
      <c r="A29" s="137" t="s">
        <v>339</v>
      </c>
      <c r="B29" s="137" t="s">
        <v>37</v>
      </c>
      <c r="C29" s="137"/>
      <c r="D29" s="51"/>
      <c r="E29" s="3"/>
      <c r="F29" s="3"/>
      <c r="G29" s="17"/>
      <c r="H29" s="153"/>
      <c r="I29" s="17"/>
      <c r="J29" s="103" t="s">
        <v>341</v>
      </c>
      <c r="K29" s="102" t="s">
        <v>360</v>
      </c>
      <c r="L29" s="103" t="s">
        <v>366</v>
      </c>
    </row>
    <row r="30" spans="1:12" ht="75" x14ac:dyDescent="0.25">
      <c r="A30" s="139"/>
      <c r="B30" s="139"/>
      <c r="C30" s="139"/>
      <c r="D30" s="51"/>
      <c r="E30" s="3"/>
      <c r="F30" s="3"/>
      <c r="G30" s="67"/>
      <c r="H30" s="154"/>
      <c r="I30" s="67"/>
      <c r="J30" s="103" t="s">
        <v>340</v>
      </c>
      <c r="K30" s="104" t="s">
        <v>351</v>
      </c>
      <c r="L30" s="104"/>
    </row>
    <row r="31" spans="1:12" ht="45" hidden="1" x14ac:dyDescent="0.25">
      <c r="A31" s="134" t="s">
        <v>14</v>
      </c>
      <c r="B31" s="3" t="s">
        <v>191</v>
      </c>
      <c r="C31" s="50" t="s">
        <v>195</v>
      </c>
      <c r="D31" s="51"/>
      <c r="E31" s="3" t="s">
        <v>137</v>
      </c>
      <c r="F31" s="3" t="s">
        <v>138</v>
      </c>
      <c r="G31" s="17">
        <v>43473</v>
      </c>
      <c r="H31" s="32" t="s">
        <v>108</v>
      </c>
      <c r="I31" s="17"/>
      <c r="J31" s="67"/>
      <c r="K31" s="67"/>
      <c r="L31" s="108"/>
    </row>
    <row r="32" spans="1:12" ht="75" hidden="1" x14ac:dyDescent="0.25">
      <c r="A32" s="134"/>
      <c r="B32" s="3" t="s">
        <v>4</v>
      </c>
      <c r="C32" s="3" t="s">
        <v>92</v>
      </c>
      <c r="D32" s="17">
        <v>43480</v>
      </c>
      <c r="E32" s="3" t="s">
        <v>137</v>
      </c>
      <c r="F32" s="3" t="s">
        <v>138</v>
      </c>
      <c r="G32" s="17" t="s">
        <v>111</v>
      </c>
      <c r="H32" s="32" t="s">
        <v>108</v>
      </c>
      <c r="I32" s="17"/>
      <c r="J32" s="67"/>
      <c r="K32" s="67"/>
      <c r="L32" s="108"/>
    </row>
    <row r="33" spans="1:12" ht="30" hidden="1" x14ac:dyDescent="0.25">
      <c r="A33" s="134"/>
      <c r="B33" s="3" t="s">
        <v>24</v>
      </c>
      <c r="C33" s="3"/>
      <c r="D33" s="8"/>
      <c r="E33" s="3"/>
      <c r="F33" s="3"/>
      <c r="G33" s="17"/>
      <c r="H33" s="32"/>
      <c r="I33" s="17"/>
      <c r="J33" s="67"/>
      <c r="K33" s="67"/>
      <c r="L33" s="108"/>
    </row>
    <row r="34" spans="1:12" ht="45" hidden="1" x14ac:dyDescent="0.25">
      <c r="A34" s="134"/>
      <c r="B34" s="3" t="s">
        <v>25</v>
      </c>
      <c r="C34" s="50" t="s">
        <v>200</v>
      </c>
      <c r="D34" s="8"/>
      <c r="E34" s="3"/>
      <c r="F34" s="3"/>
      <c r="G34" s="17">
        <v>43479</v>
      </c>
      <c r="H34" s="32" t="s">
        <v>108</v>
      </c>
      <c r="I34" s="17"/>
      <c r="J34" s="67"/>
      <c r="K34" s="67"/>
      <c r="L34" s="108"/>
    </row>
    <row r="35" spans="1:12" ht="30" hidden="1" x14ac:dyDescent="0.25">
      <c r="A35" s="134"/>
      <c r="B35" s="134" t="s">
        <v>26</v>
      </c>
      <c r="C35" s="4" t="s">
        <v>182</v>
      </c>
      <c r="D35" s="52"/>
      <c r="E35" s="3" t="s">
        <v>183</v>
      </c>
      <c r="F35" s="3" t="s">
        <v>137</v>
      </c>
      <c r="G35" s="17">
        <v>43474</v>
      </c>
      <c r="H35" s="32" t="s">
        <v>108</v>
      </c>
      <c r="I35" s="17"/>
      <c r="J35" s="67"/>
      <c r="K35" s="67"/>
      <c r="L35" s="108"/>
    </row>
    <row r="36" spans="1:12" ht="30" hidden="1" x14ac:dyDescent="0.25">
      <c r="A36" s="134"/>
      <c r="B36" s="134"/>
      <c r="C36" s="4" t="s">
        <v>186</v>
      </c>
      <c r="D36" s="52"/>
      <c r="E36" s="3" t="s">
        <v>137</v>
      </c>
      <c r="F36" s="3" t="s">
        <v>183</v>
      </c>
      <c r="G36" s="17">
        <v>43474</v>
      </c>
      <c r="H36" s="32" t="s">
        <v>108</v>
      </c>
      <c r="I36" s="17"/>
      <c r="J36" s="67"/>
      <c r="K36" s="67"/>
      <c r="L36" s="108"/>
    </row>
    <row r="37" spans="1:12" ht="90" hidden="1" x14ac:dyDescent="0.25">
      <c r="A37" s="134"/>
      <c r="B37" s="134" t="s">
        <v>27</v>
      </c>
      <c r="C37" s="4" t="s">
        <v>187</v>
      </c>
      <c r="D37" s="52"/>
      <c r="E37" s="3" t="s">
        <v>163</v>
      </c>
      <c r="F37" s="3" t="s">
        <v>137</v>
      </c>
      <c r="G37" s="17">
        <v>43474</v>
      </c>
      <c r="H37" s="32" t="s">
        <v>108</v>
      </c>
      <c r="I37" s="3"/>
      <c r="J37" s="3"/>
      <c r="K37" s="3"/>
      <c r="L37" s="3"/>
    </row>
    <row r="38" spans="1:12" ht="30" hidden="1" x14ac:dyDescent="0.25">
      <c r="A38" s="134"/>
      <c r="B38" s="134"/>
      <c r="C38" s="4" t="s">
        <v>188</v>
      </c>
      <c r="D38" s="52"/>
      <c r="E38" s="3" t="s">
        <v>137</v>
      </c>
      <c r="F38" s="3" t="s">
        <v>163</v>
      </c>
      <c r="G38" s="17">
        <v>43474</v>
      </c>
      <c r="H38" s="32" t="s">
        <v>108</v>
      </c>
      <c r="I38" s="3"/>
      <c r="J38" s="3"/>
      <c r="K38" s="3"/>
      <c r="L38" s="3"/>
    </row>
    <row r="39" spans="1:12" ht="30" hidden="1" x14ac:dyDescent="0.25">
      <c r="A39" s="134"/>
      <c r="B39" s="3" t="s">
        <v>50</v>
      </c>
      <c r="C39" s="3"/>
      <c r="D39" s="8"/>
      <c r="E39" s="3"/>
      <c r="F39" s="3"/>
      <c r="G39" s="17"/>
      <c r="H39" s="32"/>
      <c r="I39" s="17"/>
      <c r="J39" s="67"/>
      <c r="K39" s="67"/>
      <c r="L39" s="108"/>
    </row>
    <row r="40" spans="1:12" ht="30" hidden="1" x14ac:dyDescent="0.25">
      <c r="A40" s="134"/>
      <c r="B40" s="3" t="s">
        <v>28</v>
      </c>
      <c r="C40" s="3"/>
      <c r="D40" s="8"/>
      <c r="E40" s="3"/>
      <c r="F40" s="3"/>
      <c r="G40" s="17"/>
      <c r="H40" s="32"/>
      <c r="I40" s="17"/>
      <c r="J40" s="67"/>
      <c r="K40" s="67"/>
      <c r="L40" s="108"/>
    </row>
    <row r="41" spans="1:12" ht="98.25" hidden="1" customHeight="1" x14ac:dyDescent="0.25">
      <c r="A41" s="134"/>
      <c r="B41" s="134" t="s">
        <v>160</v>
      </c>
      <c r="C41" s="28" t="s">
        <v>251</v>
      </c>
      <c r="D41" s="57" t="s">
        <v>250</v>
      </c>
      <c r="E41" s="3" t="s">
        <v>181</v>
      </c>
      <c r="F41" s="3" t="s">
        <v>137</v>
      </c>
      <c r="G41" s="17">
        <v>43481</v>
      </c>
      <c r="H41" s="41" t="s">
        <v>108</v>
      </c>
      <c r="I41" s="49" t="s">
        <v>203</v>
      </c>
      <c r="J41" s="49"/>
      <c r="K41" s="49"/>
      <c r="L41" s="49"/>
    </row>
    <row r="42" spans="1:12" ht="210" hidden="1" x14ac:dyDescent="0.25">
      <c r="A42" s="134"/>
      <c r="B42" s="134"/>
      <c r="C42" s="55" t="s">
        <v>161</v>
      </c>
      <c r="D42" s="52"/>
      <c r="E42" s="3" t="s">
        <v>137</v>
      </c>
      <c r="F42" s="3" t="s">
        <v>138</v>
      </c>
      <c r="G42" s="17">
        <v>43474</v>
      </c>
      <c r="H42" s="32" t="s">
        <v>108</v>
      </c>
      <c r="I42" s="3" t="s">
        <v>114</v>
      </c>
      <c r="J42" s="3"/>
      <c r="K42" s="3"/>
      <c r="L42" s="3"/>
    </row>
    <row r="43" spans="1:12" ht="135" hidden="1" x14ac:dyDescent="0.25">
      <c r="A43" s="134" t="s">
        <v>29</v>
      </c>
      <c r="B43" s="134" t="s">
        <v>29</v>
      </c>
      <c r="C43" s="11" t="s">
        <v>117</v>
      </c>
      <c r="D43" s="8">
        <v>43480</v>
      </c>
      <c r="E43" s="3" t="s">
        <v>137</v>
      </c>
      <c r="F43" s="3" t="s">
        <v>118</v>
      </c>
      <c r="G43" s="17" t="s">
        <v>122</v>
      </c>
      <c r="H43" s="32" t="s">
        <v>108</v>
      </c>
      <c r="I43" s="3"/>
      <c r="J43" s="3"/>
      <c r="K43" s="3"/>
      <c r="L43" s="3"/>
    </row>
    <row r="44" spans="1:12" ht="30" hidden="1" x14ac:dyDescent="0.25">
      <c r="A44" s="134"/>
      <c r="B44" s="134"/>
      <c r="C44" s="11" t="s">
        <v>119</v>
      </c>
      <c r="D44" s="8">
        <v>43462</v>
      </c>
      <c r="E44" s="3" t="s">
        <v>163</v>
      </c>
      <c r="F44" s="3" t="s">
        <v>137</v>
      </c>
      <c r="G44" s="17" t="s">
        <v>122</v>
      </c>
      <c r="H44" s="32" t="s">
        <v>108</v>
      </c>
      <c r="I44" s="9"/>
      <c r="J44" s="66"/>
      <c r="K44" s="66"/>
      <c r="L44" s="107"/>
    </row>
    <row r="45" spans="1:12" ht="75" hidden="1" x14ac:dyDescent="0.25">
      <c r="A45" s="134"/>
      <c r="B45" s="134"/>
      <c r="C45" s="11" t="s">
        <v>171</v>
      </c>
      <c r="D45" s="52"/>
      <c r="E45" s="3" t="s">
        <v>137</v>
      </c>
      <c r="F45" s="3" t="s">
        <v>163</v>
      </c>
      <c r="G45" s="17">
        <v>43474</v>
      </c>
      <c r="H45" s="32" t="s">
        <v>108</v>
      </c>
      <c r="I45" s="9"/>
      <c r="J45" s="66"/>
      <c r="K45" s="66"/>
      <c r="L45" s="107"/>
    </row>
    <row r="46" spans="1:12" ht="45" hidden="1" x14ac:dyDescent="0.25">
      <c r="A46" s="134"/>
      <c r="B46" s="134"/>
      <c r="C46" s="11" t="s">
        <v>167</v>
      </c>
      <c r="D46" s="52"/>
      <c r="E46" s="3" t="s">
        <v>137</v>
      </c>
      <c r="F46" s="3" t="s">
        <v>163</v>
      </c>
      <c r="G46" s="17">
        <v>43474</v>
      </c>
      <c r="H46" s="32" t="s">
        <v>108</v>
      </c>
      <c r="I46" s="9"/>
      <c r="J46" s="66"/>
      <c r="K46" s="66"/>
      <c r="L46" s="107"/>
    </row>
    <row r="47" spans="1:12" ht="75" hidden="1" x14ac:dyDescent="0.25">
      <c r="A47" s="134"/>
      <c r="B47" s="134"/>
      <c r="C47" s="11" t="s">
        <v>189</v>
      </c>
      <c r="D47" s="52"/>
      <c r="E47" s="3" t="s">
        <v>137</v>
      </c>
      <c r="F47" s="3" t="s">
        <v>163</v>
      </c>
      <c r="G47" s="17">
        <v>43474</v>
      </c>
      <c r="H47" s="32" t="s">
        <v>108</v>
      </c>
      <c r="I47" s="11" t="s">
        <v>166</v>
      </c>
      <c r="J47" s="65"/>
      <c r="K47" s="65"/>
      <c r="L47" s="106"/>
    </row>
    <row r="48" spans="1:12" ht="240" hidden="1" x14ac:dyDescent="0.25">
      <c r="A48" s="134"/>
      <c r="B48" s="134"/>
      <c r="C48" s="11" t="s">
        <v>172</v>
      </c>
      <c r="D48" s="52"/>
      <c r="E48" s="3" t="s">
        <v>181</v>
      </c>
      <c r="F48" s="3" t="s">
        <v>137</v>
      </c>
      <c r="G48" s="17">
        <v>43474</v>
      </c>
      <c r="H48" s="60" t="s">
        <v>261</v>
      </c>
      <c r="I48" s="9"/>
      <c r="J48" s="66"/>
      <c r="K48" s="66"/>
      <c r="L48" s="107"/>
    </row>
    <row r="49" spans="1:12" ht="45" hidden="1" x14ac:dyDescent="0.25">
      <c r="A49" s="134"/>
      <c r="B49" s="134"/>
      <c r="C49" s="31" t="s">
        <v>201</v>
      </c>
      <c r="D49" s="52"/>
      <c r="E49" s="3"/>
      <c r="F49" s="3"/>
      <c r="G49" s="17">
        <v>43479</v>
      </c>
      <c r="H49" s="32" t="s">
        <v>108</v>
      </c>
      <c r="I49" s="9"/>
      <c r="J49" s="66"/>
      <c r="K49" s="66"/>
      <c r="L49" s="107"/>
    </row>
    <row r="50" spans="1:12" ht="30" hidden="1" x14ac:dyDescent="0.25">
      <c r="A50" s="134"/>
      <c r="B50" s="134"/>
      <c r="C50" s="3" t="s">
        <v>168</v>
      </c>
      <c r="D50" s="52"/>
      <c r="E50" s="3" t="s">
        <v>137</v>
      </c>
      <c r="F50" s="3" t="s">
        <v>163</v>
      </c>
      <c r="G50" s="17">
        <v>43474</v>
      </c>
      <c r="H50" s="32" t="s">
        <v>108</v>
      </c>
      <c r="I50" s="51"/>
      <c r="J50" s="51"/>
      <c r="K50" s="51"/>
      <c r="L50" s="51"/>
    </row>
    <row r="51" spans="1:12" ht="45" hidden="1" x14ac:dyDescent="0.25">
      <c r="A51" s="134" t="s">
        <v>15</v>
      </c>
      <c r="B51" s="3" t="s">
        <v>20</v>
      </c>
      <c r="C51" s="3" t="s">
        <v>85</v>
      </c>
      <c r="D51" s="8">
        <v>43480</v>
      </c>
      <c r="E51" s="3" t="s">
        <v>184</v>
      </c>
      <c r="F51" s="3" t="s">
        <v>87</v>
      </c>
      <c r="G51" s="8" t="s">
        <v>112</v>
      </c>
      <c r="H51" s="32" t="s">
        <v>108</v>
      </c>
      <c r="I51" s="131"/>
      <c r="J51" s="131" t="s">
        <v>343</v>
      </c>
      <c r="K51" s="131"/>
      <c r="L51" s="131"/>
    </row>
    <row r="52" spans="1:12" ht="60" hidden="1" x14ac:dyDescent="0.25">
      <c r="A52" s="134"/>
      <c r="B52" s="3" t="s">
        <v>32</v>
      </c>
      <c r="C52" s="4" t="s">
        <v>342</v>
      </c>
      <c r="D52" s="52"/>
      <c r="E52" s="3" t="s">
        <v>137</v>
      </c>
      <c r="F52" s="3" t="s">
        <v>138</v>
      </c>
      <c r="G52" s="17">
        <v>43474</v>
      </c>
      <c r="H52" s="32" t="s">
        <v>108</v>
      </c>
      <c r="I52" s="131"/>
      <c r="J52" s="131"/>
      <c r="K52" s="131"/>
      <c r="L52" s="131"/>
    </row>
    <row r="53" spans="1:12" ht="220.5" hidden="1" x14ac:dyDescent="0.25">
      <c r="A53" s="134"/>
      <c r="B53" s="3" t="s">
        <v>156</v>
      </c>
      <c r="C53" s="33" t="s">
        <v>204</v>
      </c>
      <c r="D53" s="52"/>
      <c r="E53" s="3" t="s">
        <v>137</v>
      </c>
      <c r="F53" s="3" t="s">
        <v>138</v>
      </c>
      <c r="G53" s="17">
        <v>43474</v>
      </c>
      <c r="H53" s="32" t="s">
        <v>108</v>
      </c>
      <c r="I53" s="17"/>
      <c r="J53" s="67"/>
      <c r="K53" s="67"/>
      <c r="L53" s="108"/>
    </row>
    <row r="54" spans="1:12" ht="180" hidden="1" x14ac:dyDescent="0.25">
      <c r="A54" s="134"/>
      <c r="B54" s="134" t="s">
        <v>155</v>
      </c>
      <c r="C54" s="34" t="s">
        <v>206</v>
      </c>
      <c r="D54" s="49"/>
      <c r="E54" s="3" t="s">
        <v>137</v>
      </c>
      <c r="F54" s="3" t="s">
        <v>138</v>
      </c>
      <c r="G54" s="17">
        <v>43474</v>
      </c>
      <c r="H54" s="32" t="s">
        <v>108</v>
      </c>
      <c r="I54" s="17"/>
      <c r="J54" s="67"/>
      <c r="K54" s="67"/>
      <c r="L54" s="108"/>
    </row>
    <row r="55" spans="1:12" ht="60" hidden="1" x14ac:dyDescent="0.25">
      <c r="A55" s="134"/>
      <c r="B55" s="134"/>
      <c r="C55" s="34" t="s">
        <v>205</v>
      </c>
      <c r="D55" s="49"/>
      <c r="E55" s="3"/>
      <c r="F55" s="3"/>
      <c r="G55" s="17"/>
      <c r="H55" s="32" t="s">
        <v>108</v>
      </c>
      <c r="I55" s="17"/>
      <c r="J55" s="67"/>
      <c r="K55" s="67"/>
      <c r="L55" s="108"/>
    </row>
    <row r="56" spans="1:12" ht="45" hidden="1" x14ac:dyDescent="0.25">
      <c r="A56" s="134"/>
      <c r="B56" s="3" t="s">
        <v>158</v>
      </c>
      <c r="C56" s="35" t="s">
        <v>159</v>
      </c>
      <c r="D56" s="49"/>
      <c r="E56" s="3" t="s">
        <v>137</v>
      </c>
      <c r="F56" s="3" t="s">
        <v>138</v>
      </c>
      <c r="G56" s="17">
        <v>43474</v>
      </c>
      <c r="H56" s="32" t="s">
        <v>108</v>
      </c>
      <c r="I56" s="17"/>
      <c r="J56" s="67"/>
      <c r="K56" s="67"/>
      <c r="L56" s="108"/>
    </row>
    <row r="57" spans="1:12" ht="45" hidden="1" x14ac:dyDescent="0.25">
      <c r="A57" s="137" t="s">
        <v>16</v>
      </c>
      <c r="B57" s="3" t="s">
        <v>17</v>
      </c>
      <c r="C57" s="36" t="s">
        <v>170</v>
      </c>
      <c r="D57" s="52"/>
      <c r="E57" s="3" t="s">
        <v>137</v>
      </c>
      <c r="F57" s="3" t="s">
        <v>138</v>
      </c>
      <c r="G57" s="37">
        <v>43474</v>
      </c>
      <c r="H57" s="32" t="s">
        <v>108</v>
      </c>
      <c r="I57" s="8"/>
      <c r="J57" s="8"/>
      <c r="K57" s="8"/>
      <c r="L57" s="8"/>
    </row>
    <row r="58" spans="1:12" hidden="1" x14ac:dyDescent="0.25">
      <c r="A58" s="138"/>
      <c r="B58" s="3" t="s">
        <v>18</v>
      </c>
      <c r="C58" s="36"/>
      <c r="D58" s="8"/>
      <c r="E58" s="3"/>
      <c r="F58" s="3"/>
      <c r="G58" s="38"/>
      <c r="H58" s="32"/>
      <c r="I58" s="8"/>
      <c r="J58" s="8"/>
      <c r="K58" s="8"/>
      <c r="L58" s="8"/>
    </row>
    <row r="59" spans="1:12" ht="75" hidden="1" x14ac:dyDescent="0.25">
      <c r="A59" s="138"/>
      <c r="B59" s="39" t="s">
        <v>31</v>
      </c>
      <c r="C59" s="36" t="s">
        <v>169</v>
      </c>
      <c r="D59" s="8">
        <v>43480</v>
      </c>
      <c r="E59" s="3" t="s">
        <v>137</v>
      </c>
      <c r="F59" s="3" t="s">
        <v>87</v>
      </c>
      <c r="G59" s="40" t="s">
        <v>192</v>
      </c>
      <c r="H59" s="32" t="s">
        <v>108</v>
      </c>
      <c r="I59" s="3"/>
      <c r="J59" s="3"/>
      <c r="K59" s="3"/>
      <c r="L59" s="3"/>
    </row>
    <row r="60" spans="1:12" ht="30" hidden="1" x14ac:dyDescent="0.25">
      <c r="A60" s="138"/>
      <c r="B60" s="132" t="s">
        <v>152</v>
      </c>
      <c r="C60" s="11" t="s">
        <v>176</v>
      </c>
      <c r="D60" s="49"/>
      <c r="E60" s="3" t="s">
        <v>137</v>
      </c>
      <c r="F60" s="3" t="s">
        <v>138</v>
      </c>
      <c r="G60" s="41">
        <v>43473</v>
      </c>
      <c r="H60" s="32" t="s">
        <v>108</v>
      </c>
      <c r="I60" s="3"/>
      <c r="J60" s="3"/>
      <c r="K60" s="3"/>
      <c r="L60" s="3"/>
    </row>
    <row r="61" spans="1:12" ht="30" hidden="1" x14ac:dyDescent="0.25">
      <c r="A61" s="138"/>
      <c r="B61" s="132"/>
      <c r="C61" s="42" t="s">
        <v>177</v>
      </c>
      <c r="D61" s="49"/>
      <c r="E61" s="18" t="s">
        <v>137</v>
      </c>
      <c r="F61" s="18" t="s">
        <v>138</v>
      </c>
      <c r="G61" s="43">
        <v>43474</v>
      </c>
      <c r="H61" s="32" t="s">
        <v>108</v>
      </c>
      <c r="I61" s="3"/>
      <c r="J61" s="3"/>
      <c r="K61" s="3"/>
      <c r="L61" s="3"/>
    </row>
    <row r="62" spans="1:12" ht="45" hidden="1" x14ac:dyDescent="0.25">
      <c r="A62" s="138"/>
      <c r="B62" s="39" t="s">
        <v>153</v>
      </c>
      <c r="C62" s="39" t="s">
        <v>190</v>
      </c>
      <c r="D62" s="49"/>
      <c r="E62" s="18" t="s">
        <v>138</v>
      </c>
      <c r="F62" s="18" t="s">
        <v>137</v>
      </c>
      <c r="G62" s="41">
        <v>43473</v>
      </c>
      <c r="H62" s="32" t="s">
        <v>108</v>
      </c>
      <c r="I62" s="3"/>
      <c r="J62" s="3"/>
      <c r="K62" s="3"/>
      <c r="L62" s="3"/>
    </row>
    <row r="63" spans="1:12" ht="30" hidden="1" x14ac:dyDescent="0.25">
      <c r="A63" s="138"/>
      <c r="B63" s="140" t="s">
        <v>19</v>
      </c>
      <c r="C63" s="11" t="s">
        <v>91</v>
      </c>
      <c r="D63" s="17">
        <v>43480</v>
      </c>
      <c r="E63" s="18" t="s">
        <v>137</v>
      </c>
      <c r="F63" s="18" t="s">
        <v>121</v>
      </c>
      <c r="G63" s="146" t="s">
        <v>113</v>
      </c>
      <c r="H63" s="32" t="s">
        <v>108</v>
      </c>
      <c r="I63" s="3"/>
      <c r="J63" s="3"/>
      <c r="K63" s="3"/>
      <c r="L63" s="3"/>
    </row>
    <row r="64" spans="1:12" ht="45" hidden="1" x14ac:dyDescent="0.25">
      <c r="A64" s="138"/>
      <c r="B64" s="141"/>
      <c r="C64" s="45" t="s">
        <v>131</v>
      </c>
      <c r="D64" s="41" t="s">
        <v>132</v>
      </c>
      <c r="E64" s="18" t="s">
        <v>137</v>
      </c>
      <c r="F64" s="18" t="s">
        <v>138</v>
      </c>
      <c r="G64" s="146"/>
      <c r="H64" s="32" t="s">
        <v>108</v>
      </c>
      <c r="I64" s="3"/>
      <c r="J64" s="3"/>
      <c r="K64" s="3"/>
      <c r="L64" s="3"/>
    </row>
    <row r="65" spans="1:12" ht="30" hidden="1" x14ac:dyDescent="0.25">
      <c r="A65" s="138"/>
      <c r="B65" s="141"/>
      <c r="C65" s="45" t="s">
        <v>173</v>
      </c>
      <c r="D65" s="53"/>
      <c r="E65" s="18" t="s">
        <v>137</v>
      </c>
      <c r="F65" s="18" t="s">
        <v>138</v>
      </c>
      <c r="G65" s="43">
        <v>43474</v>
      </c>
      <c r="H65" s="32" t="s">
        <v>108</v>
      </c>
      <c r="I65" s="3"/>
      <c r="J65" s="3"/>
      <c r="K65" s="3"/>
      <c r="L65" s="3"/>
    </row>
    <row r="66" spans="1:12" ht="30" hidden="1" x14ac:dyDescent="0.25">
      <c r="A66" s="138"/>
      <c r="B66" s="141"/>
      <c r="C66" s="45" t="s">
        <v>207</v>
      </c>
      <c r="D66" s="53"/>
      <c r="E66" s="18" t="s">
        <v>137</v>
      </c>
      <c r="F66" s="18" t="s">
        <v>138</v>
      </c>
      <c r="G66" s="43">
        <v>43474</v>
      </c>
      <c r="H66" s="32" t="s">
        <v>108</v>
      </c>
      <c r="I66" s="3"/>
      <c r="J66" s="3"/>
      <c r="K66" s="3"/>
      <c r="L66" s="3"/>
    </row>
    <row r="67" spans="1:12" ht="30" hidden="1" x14ac:dyDescent="0.25">
      <c r="A67" s="138"/>
      <c r="B67" s="141"/>
      <c r="C67" s="45" t="s">
        <v>174</v>
      </c>
      <c r="D67" s="53"/>
      <c r="E67" s="18" t="s">
        <v>137</v>
      </c>
      <c r="F67" s="18" t="s">
        <v>138</v>
      </c>
      <c r="G67" s="43">
        <v>43474</v>
      </c>
      <c r="H67" s="27" t="s">
        <v>108</v>
      </c>
      <c r="I67" s="3"/>
      <c r="J67" s="3"/>
      <c r="K67" s="3"/>
      <c r="L67" s="3"/>
    </row>
    <row r="68" spans="1:12" ht="30" hidden="1" x14ac:dyDescent="0.25">
      <c r="A68" s="139"/>
      <c r="B68" s="142"/>
      <c r="C68" s="45" t="s">
        <v>244</v>
      </c>
      <c r="D68" s="53"/>
      <c r="E68" s="27" t="s">
        <v>138</v>
      </c>
      <c r="F68" s="27" t="s">
        <v>137</v>
      </c>
      <c r="G68" s="44">
        <v>43463</v>
      </c>
      <c r="H68" s="27" t="s">
        <v>259</v>
      </c>
      <c r="I68" s="3"/>
      <c r="J68" s="3"/>
      <c r="K68" s="3"/>
      <c r="L68" s="3"/>
    </row>
    <row r="69" spans="1:12" ht="34.5" customHeight="1" x14ac:dyDescent="0.25">
      <c r="A69" s="134" t="s">
        <v>94</v>
      </c>
      <c r="B69" s="46" t="s">
        <v>99</v>
      </c>
      <c r="C69" s="144" t="s">
        <v>196</v>
      </c>
      <c r="D69" s="135" t="s">
        <v>103</v>
      </c>
      <c r="E69" s="135" t="s">
        <v>104</v>
      </c>
      <c r="F69" s="133" t="s">
        <v>87</v>
      </c>
      <c r="G69" s="147" t="s">
        <v>236</v>
      </c>
      <c r="H69" s="32" t="s">
        <v>260</v>
      </c>
      <c r="I69" s="3"/>
      <c r="J69" s="70" t="s">
        <v>344</v>
      </c>
      <c r="K69" s="104" t="s">
        <v>351</v>
      </c>
      <c r="L69" s="104" t="s">
        <v>364</v>
      </c>
    </row>
    <row r="70" spans="1:12" ht="31.5" customHeight="1" x14ac:dyDescent="0.25">
      <c r="A70" s="134"/>
      <c r="B70" s="46" t="s">
        <v>100</v>
      </c>
      <c r="C70" s="145"/>
      <c r="D70" s="136"/>
      <c r="E70" s="136"/>
      <c r="F70" s="133"/>
      <c r="G70" s="147"/>
      <c r="H70" s="32" t="s">
        <v>234</v>
      </c>
      <c r="I70" s="3"/>
      <c r="J70" s="70" t="s">
        <v>356</v>
      </c>
      <c r="K70" s="104" t="s">
        <v>357</v>
      </c>
      <c r="L70" s="104" t="s">
        <v>364</v>
      </c>
    </row>
    <row r="71" spans="1:12" ht="11.25" customHeight="1" x14ac:dyDescent="0.25">
      <c r="A71" s="134"/>
      <c r="B71" s="46" t="s">
        <v>101</v>
      </c>
      <c r="C71" s="145"/>
      <c r="D71" s="136"/>
      <c r="E71" s="136"/>
      <c r="F71" s="133"/>
      <c r="G71" s="147"/>
      <c r="H71" s="60" t="s">
        <v>260</v>
      </c>
      <c r="I71" s="3"/>
      <c r="J71" s="70"/>
      <c r="K71" s="104" t="s">
        <v>351</v>
      </c>
      <c r="L71" s="104"/>
    </row>
    <row r="72" spans="1:12" ht="20.25" customHeight="1" x14ac:dyDescent="0.25">
      <c r="A72" s="134"/>
      <c r="B72" s="46" t="s">
        <v>102</v>
      </c>
      <c r="C72" s="145"/>
      <c r="D72" s="136"/>
      <c r="E72" s="136"/>
      <c r="F72" s="133"/>
      <c r="G72" s="147"/>
      <c r="H72" s="60" t="s">
        <v>260</v>
      </c>
      <c r="I72" s="3"/>
      <c r="J72" s="70" t="s">
        <v>332</v>
      </c>
      <c r="K72" s="104" t="s">
        <v>351</v>
      </c>
      <c r="L72" s="104"/>
    </row>
    <row r="73" spans="1:12" hidden="1" x14ac:dyDescent="0.25">
      <c r="A73" s="134" t="s">
        <v>21</v>
      </c>
      <c r="B73" s="46" t="s">
        <v>22</v>
      </c>
      <c r="C73" s="46"/>
      <c r="D73" s="47"/>
      <c r="E73" s="46"/>
      <c r="F73" s="46"/>
      <c r="G73" s="48"/>
      <c r="H73" s="27"/>
      <c r="I73" s="3"/>
      <c r="J73" s="3"/>
      <c r="K73" s="3"/>
      <c r="L73" s="3"/>
    </row>
    <row r="74" spans="1:12" hidden="1" x14ac:dyDescent="0.25">
      <c r="A74" s="134"/>
      <c r="B74" s="46" t="s">
        <v>23</v>
      </c>
      <c r="C74" s="46"/>
      <c r="D74" s="47"/>
      <c r="E74" s="46"/>
      <c r="F74" s="46"/>
      <c r="G74" s="48"/>
      <c r="H74" s="27"/>
      <c r="I74" s="3"/>
      <c r="J74" s="3"/>
      <c r="K74" s="3"/>
      <c r="L74" s="3"/>
    </row>
    <row r="75" spans="1:12" hidden="1" x14ac:dyDescent="0.25">
      <c r="A75" s="134" t="s">
        <v>38</v>
      </c>
      <c r="B75" s="3" t="s">
        <v>39</v>
      </c>
      <c r="C75" s="3"/>
      <c r="D75" s="8"/>
      <c r="E75" s="3"/>
      <c r="F75" s="3"/>
      <c r="G75" s="17"/>
      <c r="H75" s="27"/>
      <c r="I75" s="3"/>
      <c r="J75" s="3"/>
      <c r="K75" s="3"/>
      <c r="L75" s="3"/>
    </row>
    <row r="76" spans="1:12" hidden="1" x14ac:dyDescent="0.25">
      <c r="A76" s="134"/>
      <c r="B76" s="3" t="s">
        <v>21</v>
      </c>
      <c r="C76" s="3"/>
      <c r="D76" s="8"/>
      <c r="E76" s="3"/>
      <c r="F76" s="3"/>
      <c r="G76" s="17"/>
      <c r="H76" s="27"/>
      <c r="I76" s="3"/>
      <c r="J76" s="3"/>
      <c r="K76" s="3"/>
      <c r="L76" s="3"/>
    </row>
    <row r="77" spans="1:12" ht="30" hidden="1" x14ac:dyDescent="0.25">
      <c r="A77" s="134"/>
      <c r="B77" s="3" t="s">
        <v>40</v>
      </c>
      <c r="C77" s="3"/>
      <c r="D77" s="8"/>
      <c r="E77" s="3"/>
      <c r="F77" s="3"/>
      <c r="G77" s="17"/>
      <c r="H77" s="27"/>
      <c r="I77" s="3"/>
      <c r="J77" s="3"/>
      <c r="K77" s="3"/>
      <c r="L77" s="3"/>
    </row>
    <row r="78" spans="1:12" ht="45" hidden="1" x14ac:dyDescent="0.25">
      <c r="A78" s="134"/>
      <c r="B78" s="3" t="s">
        <v>48</v>
      </c>
      <c r="C78" s="3"/>
      <c r="D78" s="8"/>
      <c r="E78" s="3"/>
      <c r="F78" s="3"/>
      <c r="G78" s="17"/>
      <c r="H78" s="27"/>
      <c r="I78" s="3"/>
      <c r="J78" s="3"/>
      <c r="K78" s="3"/>
      <c r="L78" s="3"/>
    </row>
    <row r="79" spans="1:12" ht="45" hidden="1" x14ac:dyDescent="0.25">
      <c r="A79" s="134"/>
      <c r="B79" s="3" t="s">
        <v>47</v>
      </c>
      <c r="C79" s="3"/>
      <c r="D79" s="8"/>
      <c r="E79" s="3"/>
      <c r="F79" s="3"/>
      <c r="G79" s="17"/>
      <c r="H79" s="27"/>
      <c r="I79" s="3"/>
      <c r="J79" s="3"/>
      <c r="K79" s="3"/>
      <c r="L79" s="3"/>
    </row>
    <row r="80" spans="1:12" ht="45" hidden="1" x14ac:dyDescent="0.25">
      <c r="A80" s="134"/>
      <c r="B80" s="3" t="s">
        <v>46</v>
      </c>
      <c r="C80" s="3"/>
      <c r="D80" s="8"/>
      <c r="E80" s="3"/>
      <c r="F80" s="3"/>
      <c r="G80" s="17"/>
      <c r="H80" s="27"/>
      <c r="I80" s="3"/>
      <c r="J80" s="3"/>
      <c r="K80" s="3"/>
      <c r="L80" s="3"/>
    </row>
    <row r="81" spans="1:12" ht="45" hidden="1" x14ac:dyDescent="0.25">
      <c r="A81" s="134"/>
      <c r="B81" s="3" t="s">
        <v>45</v>
      </c>
      <c r="C81" s="3"/>
      <c r="D81" s="8"/>
      <c r="E81" s="3"/>
      <c r="F81" s="3"/>
      <c r="G81" s="17"/>
      <c r="H81" s="27"/>
      <c r="I81" s="3"/>
      <c r="J81" s="3"/>
      <c r="K81" s="3"/>
      <c r="L81" s="3"/>
    </row>
    <row r="82" spans="1:12" ht="45" hidden="1" x14ac:dyDescent="0.25">
      <c r="A82" s="134"/>
      <c r="B82" s="3" t="s">
        <v>44</v>
      </c>
      <c r="C82" s="3"/>
      <c r="D82" s="8"/>
      <c r="E82" s="3"/>
      <c r="F82" s="3"/>
      <c r="G82" s="17"/>
      <c r="H82" s="27"/>
      <c r="I82" s="3"/>
      <c r="J82" s="3"/>
      <c r="K82" s="3"/>
      <c r="L82" s="3"/>
    </row>
    <row r="83" spans="1:12" ht="45" hidden="1" x14ac:dyDescent="0.25">
      <c r="A83" s="134"/>
      <c r="B83" s="3" t="s">
        <v>43</v>
      </c>
      <c r="C83" s="3"/>
      <c r="D83" s="8"/>
      <c r="E83" s="3"/>
      <c r="F83" s="3"/>
      <c r="G83" s="17"/>
      <c r="H83" s="27"/>
      <c r="I83" s="3"/>
      <c r="J83" s="3"/>
      <c r="K83" s="3"/>
      <c r="L83" s="3"/>
    </row>
    <row r="84" spans="1:12" ht="60" hidden="1" x14ac:dyDescent="0.25">
      <c r="A84" s="134"/>
      <c r="B84" s="3" t="s">
        <v>42</v>
      </c>
      <c r="C84" s="3"/>
      <c r="D84" s="8"/>
      <c r="E84" s="3"/>
      <c r="F84" s="3"/>
      <c r="G84" s="17"/>
      <c r="H84" s="27"/>
      <c r="I84" s="3"/>
      <c r="J84" s="3"/>
      <c r="K84" s="3"/>
      <c r="L84" s="3"/>
    </row>
    <row r="85" spans="1:12" ht="45" hidden="1" x14ac:dyDescent="0.25">
      <c r="A85" s="134"/>
      <c r="B85" s="3" t="s">
        <v>41</v>
      </c>
      <c r="C85" s="3"/>
      <c r="D85" s="8"/>
      <c r="E85" s="3"/>
      <c r="F85" s="3"/>
      <c r="G85" s="17"/>
      <c r="H85" s="27"/>
      <c r="I85" s="3"/>
      <c r="J85" s="3"/>
      <c r="K85" s="3"/>
      <c r="L85" s="3"/>
    </row>
    <row r="86" spans="1:12" ht="19.5" hidden="1" x14ac:dyDescent="0.25">
      <c r="A86" s="143" t="s">
        <v>90</v>
      </c>
      <c r="B86" s="143"/>
      <c r="C86" s="143"/>
      <c r="D86" s="143"/>
      <c r="E86" s="143"/>
      <c r="F86" s="143"/>
      <c r="G86" s="143"/>
    </row>
    <row r="87" spans="1:12" ht="57" hidden="1" x14ac:dyDescent="0.25">
      <c r="A87" s="2" t="s">
        <v>61</v>
      </c>
      <c r="B87" s="2" t="s">
        <v>83</v>
      </c>
      <c r="C87" s="2" t="s">
        <v>71</v>
      </c>
      <c r="D87" s="2" t="s">
        <v>72</v>
      </c>
      <c r="E87" s="2" t="s">
        <v>84</v>
      </c>
      <c r="F87" s="2" t="s">
        <v>86</v>
      </c>
      <c r="G87" s="2" t="s">
        <v>106</v>
      </c>
      <c r="H87" s="2"/>
      <c r="I87" s="2" t="s">
        <v>107</v>
      </c>
      <c r="J87" s="2"/>
      <c r="K87" s="2"/>
      <c r="L87" s="2"/>
    </row>
    <row r="88" spans="1:12" ht="45" hidden="1" x14ac:dyDescent="0.25">
      <c r="A88" s="18">
        <v>1</v>
      </c>
      <c r="B88" s="134" t="s">
        <v>80</v>
      </c>
      <c r="C88" s="3" t="s">
        <v>74</v>
      </c>
      <c r="D88" s="17">
        <v>43467</v>
      </c>
      <c r="E88" s="3" t="s">
        <v>73</v>
      </c>
      <c r="F88" s="3" t="s">
        <v>75</v>
      </c>
      <c r="G88" s="17" t="s">
        <v>112</v>
      </c>
      <c r="H88" s="32" t="s">
        <v>108</v>
      </c>
      <c r="I88" s="17" t="s">
        <v>134</v>
      </c>
      <c r="J88" s="67"/>
      <c r="K88" s="67"/>
      <c r="L88" s="108"/>
    </row>
    <row r="89" spans="1:12" ht="60" hidden="1" x14ac:dyDescent="0.25">
      <c r="A89" s="18">
        <f>A88+1</f>
        <v>2</v>
      </c>
      <c r="B89" s="134"/>
      <c r="C89" s="3" t="s">
        <v>88</v>
      </c>
      <c r="D89" s="17">
        <v>43472</v>
      </c>
      <c r="E89" s="3" t="s">
        <v>89</v>
      </c>
      <c r="F89" s="3" t="s">
        <v>87</v>
      </c>
      <c r="G89" s="17" t="s">
        <v>112</v>
      </c>
      <c r="H89" s="32" t="s">
        <v>108</v>
      </c>
      <c r="I89" s="17" t="s">
        <v>135</v>
      </c>
      <c r="J89" s="67"/>
      <c r="K89" s="67"/>
      <c r="L89" s="108"/>
    </row>
    <row r="90" spans="1:12" ht="162.75" hidden="1" customHeight="1" x14ac:dyDescent="0.25">
      <c r="A90" s="18">
        <f t="shared" ref="A90:A107" si="0">A89+1</f>
        <v>3</v>
      </c>
      <c r="B90" s="134" t="s">
        <v>150</v>
      </c>
      <c r="C90" s="50" t="s">
        <v>237</v>
      </c>
      <c r="D90" s="17"/>
      <c r="E90" s="3" t="s">
        <v>138</v>
      </c>
      <c r="F90" s="3" t="s">
        <v>137</v>
      </c>
      <c r="G90" s="17">
        <v>43473</v>
      </c>
      <c r="H90" s="49" t="s">
        <v>108</v>
      </c>
      <c r="I90" s="17"/>
      <c r="J90" s="67"/>
      <c r="K90" s="67"/>
      <c r="L90" s="108"/>
    </row>
    <row r="91" spans="1:12" ht="108.75" hidden="1" customHeight="1" x14ac:dyDescent="0.25">
      <c r="A91" s="18">
        <f t="shared" si="0"/>
        <v>4</v>
      </c>
      <c r="B91" s="134"/>
      <c r="C91" s="4" t="s">
        <v>154</v>
      </c>
      <c r="D91" s="49"/>
      <c r="E91" s="3" t="s">
        <v>138</v>
      </c>
      <c r="F91" s="3" t="s">
        <v>137</v>
      </c>
      <c r="G91" s="17">
        <v>43474</v>
      </c>
      <c r="H91" s="49" t="s">
        <v>108</v>
      </c>
      <c r="I91" s="17"/>
      <c r="J91" s="67"/>
      <c r="K91" s="67"/>
      <c r="L91" s="108"/>
    </row>
    <row r="92" spans="1:12" ht="120" hidden="1" x14ac:dyDescent="0.25">
      <c r="A92" s="18"/>
      <c r="B92" s="134"/>
      <c r="C92" s="4" t="s">
        <v>210</v>
      </c>
      <c r="D92" s="49"/>
      <c r="E92" s="3" t="s">
        <v>138</v>
      </c>
      <c r="F92" s="3" t="s">
        <v>137</v>
      </c>
      <c r="G92" s="17">
        <v>43479</v>
      </c>
      <c r="H92" s="49" t="s">
        <v>108</v>
      </c>
      <c r="I92" s="17"/>
      <c r="J92" s="67"/>
      <c r="K92" s="67"/>
      <c r="L92" s="108"/>
    </row>
    <row r="93" spans="1:12" ht="30" hidden="1" x14ac:dyDescent="0.25">
      <c r="A93" s="18">
        <f>A91+1</f>
        <v>5</v>
      </c>
      <c r="B93" s="134"/>
      <c r="C93" s="4" t="s">
        <v>211</v>
      </c>
      <c r="D93" s="49"/>
      <c r="E93" s="3" t="s">
        <v>138</v>
      </c>
      <c r="F93" s="3" t="s">
        <v>137</v>
      </c>
      <c r="G93" s="17">
        <v>43479</v>
      </c>
      <c r="H93" s="32" t="s">
        <v>108</v>
      </c>
      <c r="I93" s="17"/>
      <c r="J93" s="67"/>
      <c r="K93" s="67"/>
      <c r="L93" s="108"/>
    </row>
    <row r="94" spans="1:12" ht="30" hidden="1" x14ac:dyDescent="0.25">
      <c r="A94" s="18">
        <f t="shared" si="0"/>
        <v>6</v>
      </c>
      <c r="B94" s="134"/>
      <c r="C94" s="4" t="s">
        <v>178</v>
      </c>
      <c r="D94" s="49"/>
      <c r="E94" s="3" t="s">
        <v>137</v>
      </c>
      <c r="F94" s="3" t="s">
        <v>181</v>
      </c>
      <c r="G94" s="17">
        <v>43474</v>
      </c>
      <c r="H94" s="32" t="s">
        <v>108</v>
      </c>
      <c r="I94" s="17"/>
      <c r="J94" s="67"/>
      <c r="K94" s="67"/>
      <c r="L94" s="108"/>
    </row>
    <row r="95" spans="1:12" hidden="1" x14ac:dyDescent="0.25">
      <c r="A95" s="18">
        <f t="shared" si="0"/>
        <v>7</v>
      </c>
      <c r="B95" s="134"/>
      <c r="C95" s="4" t="s">
        <v>179</v>
      </c>
      <c r="D95" s="49"/>
      <c r="E95" s="3" t="s">
        <v>138</v>
      </c>
      <c r="F95" s="3" t="s">
        <v>137</v>
      </c>
      <c r="G95" s="17">
        <v>43474</v>
      </c>
      <c r="H95" s="32" t="s">
        <v>108</v>
      </c>
      <c r="I95" s="17"/>
      <c r="J95" s="67"/>
      <c r="K95" s="67"/>
      <c r="L95" s="108"/>
    </row>
    <row r="96" spans="1:12" hidden="1" x14ac:dyDescent="0.25">
      <c r="A96" s="18">
        <f t="shared" si="0"/>
        <v>8</v>
      </c>
      <c r="B96" s="134"/>
      <c r="C96" s="4" t="s">
        <v>180</v>
      </c>
      <c r="D96" s="49"/>
      <c r="E96" s="3" t="s">
        <v>163</v>
      </c>
      <c r="F96" s="3" t="s">
        <v>137</v>
      </c>
      <c r="G96" s="17">
        <v>43474</v>
      </c>
      <c r="H96" s="60" t="s">
        <v>108</v>
      </c>
      <c r="I96" s="17" t="s">
        <v>208</v>
      </c>
      <c r="J96" s="67"/>
      <c r="K96" s="67"/>
      <c r="L96" s="108"/>
    </row>
    <row r="97" spans="1:12" ht="45" hidden="1" x14ac:dyDescent="0.25">
      <c r="A97" s="18"/>
      <c r="B97" s="134"/>
      <c r="C97" s="4" t="s">
        <v>213</v>
      </c>
      <c r="D97" s="49"/>
      <c r="E97" s="3"/>
      <c r="F97" s="3"/>
      <c r="G97" s="17">
        <v>43479</v>
      </c>
      <c r="H97" s="32" t="s">
        <v>247</v>
      </c>
      <c r="I97" s="17"/>
      <c r="J97" s="67"/>
      <c r="K97" s="67"/>
      <c r="L97" s="108"/>
    </row>
    <row r="98" spans="1:12" ht="60" hidden="1" x14ac:dyDescent="0.25">
      <c r="A98" s="18"/>
      <c r="B98" s="134"/>
      <c r="C98" s="4" t="s">
        <v>214</v>
      </c>
      <c r="D98" s="49"/>
      <c r="E98" s="3"/>
      <c r="F98" s="3"/>
      <c r="G98" s="17"/>
      <c r="H98" s="32" t="s">
        <v>108</v>
      </c>
      <c r="I98" s="17"/>
      <c r="J98" s="67"/>
      <c r="K98" s="67"/>
      <c r="L98" s="108"/>
    </row>
    <row r="99" spans="1:12" ht="30" hidden="1" x14ac:dyDescent="0.25">
      <c r="A99" s="18">
        <f>A96+1</f>
        <v>9</v>
      </c>
      <c r="B99" s="134"/>
      <c r="C99" s="4" t="s">
        <v>151</v>
      </c>
      <c r="D99" s="49">
        <v>43475</v>
      </c>
      <c r="E99" s="3" t="s">
        <v>137</v>
      </c>
      <c r="F99" s="3" t="s">
        <v>138</v>
      </c>
      <c r="G99" s="17">
        <v>43473</v>
      </c>
      <c r="H99" s="32" t="s">
        <v>108</v>
      </c>
      <c r="I99" s="17"/>
      <c r="J99" s="67"/>
      <c r="K99" s="67"/>
      <c r="L99" s="108"/>
    </row>
    <row r="100" spans="1:12" ht="75" hidden="1" x14ac:dyDescent="0.25">
      <c r="A100" s="18">
        <f>A99+1</f>
        <v>10</v>
      </c>
      <c r="B100" s="134"/>
      <c r="C100" s="4" t="s">
        <v>219</v>
      </c>
      <c r="D100" s="49">
        <v>43476</v>
      </c>
      <c r="E100" s="3" t="s">
        <v>138</v>
      </c>
      <c r="F100" s="3" t="s">
        <v>137</v>
      </c>
      <c r="G100" s="17">
        <v>43473</v>
      </c>
      <c r="H100" s="60" t="s">
        <v>108</v>
      </c>
      <c r="I100" s="17"/>
      <c r="J100" s="67"/>
      <c r="K100" s="67"/>
      <c r="L100" s="108"/>
    </row>
    <row r="101" spans="1:12" ht="30" hidden="1" x14ac:dyDescent="0.25">
      <c r="A101" s="18"/>
      <c r="B101" s="18"/>
      <c r="C101" s="4" t="s">
        <v>220</v>
      </c>
      <c r="D101" s="49"/>
      <c r="E101" s="3"/>
      <c r="F101" s="3"/>
      <c r="G101" s="17">
        <v>43479</v>
      </c>
      <c r="H101" s="32"/>
      <c r="I101" s="17"/>
      <c r="J101" s="67"/>
      <c r="K101" s="67"/>
      <c r="L101" s="108"/>
    </row>
    <row r="102" spans="1:12" ht="90" hidden="1" x14ac:dyDescent="0.25">
      <c r="A102" s="18"/>
      <c r="B102" s="18"/>
      <c r="C102" s="4" t="s">
        <v>224</v>
      </c>
      <c r="D102" s="49"/>
      <c r="E102" s="3"/>
      <c r="F102" s="3"/>
      <c r="G102" s="17"/>
      <c r="H102" s="32"/>
      <c r="I102" s="17"/>
      <c r="J102" s="67"/>
      <c r="K102" s="67"/>
      <c r="L102" s="108"/>
    </row>
    <row r="103" spans="1:12" ht="75" hidden="1" x14ac:dyDescent="0.25">
      <c r="A103" s="18">
        <f>A100+1</f>
        <v>11</v>
      </c>
      <c r="B103" s="134" t="s">
        <v>76</v>
      </c>
      <c r="C103" s="3" t="s">
        <v>164</v>
      </c>
      <c r="D103" s="17">
        <v>43476</v>
      </c>
      <c r="E103" s="3" t="s">
        <v>78</v>
      </c>
      <c r="F103" s="3" t="s">
        <v>165</v>
      </c>
      <c r="G103" s="17">
        <v>43474</v>
      </c>
      <c r="H103" s="54" t="s">
        <v>239</v>
      </c>
      <c r="I103" s="17" t="s">
        <v>193</v>
      </c>
      <c r="J103" s="67"/>
      <c r="K103" s="67"/>
      <c r="L103" s="108"/>
    </row>
    <row r="104" spans="1:12" ht="45" hidden="1" x14ac:dyDescent="0.25">
      <c r="A104" s="18">
        <f t="shared" si="0"/>
        <v>12</v>
      </c>
      <c r="B104" s="134"/>
      <c r="C104" s="3" t="s">
        <v>77</v>
      </c>
      <c r="D104" s="17">
        <v>43479</v>
      </c>
      <c r="E104" s="3" t="s">
        <v>73</v>
      </c>
      <c r="F104" s="3" t="s">
        <v>87</v>
      </c>
      <c r="G104" s="17" t="s">
        <v>112</v>
      </c>
      <c r="H104" s="54" t="s">
        <v>238</v>
      </c>
      <c r="I104" s="17" t="s">
        <v>209</v>
      </c>
      <c r="J104" s="67"/>
      <c r="K104" s="67"/>
      <c r="L104" s="108"/>
    </row>
    <row r="105" spans="1:12" ht="45" hidden="1" x14ac:dyDescent="0.25">
      <c r="A105" s="18">
        <f t="shared" si="0"/>
        <v>13</v>
      </c>
      <c r="B105" s="134"/>
      <c r="C105" s="3" t="s">
        <v>79</v>
      </c>
      <c r="D105" s="17">
        <v>43480</v>
      </c>
      <c r="E105" s="3" t="s">
        <v>78</v>
      </c>
      <c r="F105" s="3" t="s">
        <v>87</v>
      </c>
      <c r="G105" s="17" t="s">
        <v>112</v>
      </c>
      <c r="H105" s="32" t="s">
        <v>249</v>
      </c>
      <c r="I105" s="17"/>
      <c r="J105" s="67"/>
      <c r="K105" s="67"/>
      <c r="L105" s="108"/>
    </row>
    <row r="106" spans="1:12" ht="45" hidden="1" x14ac:dyDescent="0.25">
      <c r="A106" s="18">
        <f t="shared" si="0"/>
        <v>14</v>
      </c>
      <c r="B106" s="134"/>
      <c r="C106" s="3" t="s">
        <v>76</v>
      </c>
      <c r="D106" s="17">
        <v>43480</v>
      </c>
      <c r="E106" s="3" t="s">
        <v>78</v>
      </c>
      <c r="F106" s="3" t="s">
        <v>87</v>
      </c>
      <c r="G106" s="17" t="s">
        <v>112</v>
      </c>
      <c r="H106" s="32" t="s">
        <v>249</v>
      </c>
      <c r="I106" s="17"/>
      <c r="J106" s="67"/>
      <c r="K106" s="67"/>
      <c r="L106" s="108"/>
    </row>
    <row r="107" spans="1:12" ht="60" hidden="1" x14ac:dyDescent="0.25">
      <c r="A107" s="18">
        <f t="shared" si="0"/>
        <v>15</v>
      </c>
      <c r="B107" s="3" t="s">
        <v>82</v>
      </c>
      <c r="C107" s="3" t="s">
        <v>82</v>
      </c>
      <c r="D107" s="17">
        <v>43480</v>
      </c>
      <c r="E107" s="3" t="s">
        <v>81</v>
      </c>
      <c r="F107" s="3" t="s">
        <v>87</v>
      </c>
      <c r="G107" s="17" t="s">
        <v>112</v>
      </c>
      <c r="H107" s="32" t="s">
        <v>108</v>
      </c>
      <c r="I107" s="17"/>
      <c r="J107" s="67"/>
      <c r="K107" s="67"/>
      <c r="L107" s="108"/>
    </row>
    <row r="108" spans="1:12" ht="33.75" customHeight="1" x14ac:dyDescent="0.25">
      <c r="A108" s="64"/>
      <c r="B108" s="3" t="s">
        <v>346</v>
      </c>
      <c r="C108" s="3" t="s">
        <v>345</v>
      </c>
      <c r="D108" s="67"/>
      <c r="E108" s="3"/>
      <c r="F108" s="3"/>
      <c r="G108" s="67"/>
      <c r="H108" s="67"/>
      <c r="I108" s="67"/>
      <c r="J108" s="102" t="s">
        <v>348</v>
      </c>
      <c r="K108" s="102" t="s">
        <v>349</v>
      </c>
      <c r="L108" s="102" t="s">
        <v>108</v>
      </c>
    </row>
    <row r="109" spans="1:12" ht="47.25" customHeight="1" x14ac:dyDescent="0.25">
      <c r="A109" s="105"/>
      <c r="B109" s="3" t="s">
        <v>358</v>
      </c>
      <c r="C109" s="3"/>
      <c r="D109" s="108"/>
      <c r="E109" s="3"/>
      <c r="F109" s="3"/>
      <c r="G109" s="108"/>
      <c r="H109" s="108"/>
      <c r="I109" s="108"/>
      <c r="J109" s="102" t="s">
        <v>359</v>
      </c>
      <c r="K109" s="102">
        <v>43540</v>
      </c>
      <c r="L109" s="102"/>
    </row>
  </sheetData>
  <autoFilter ref="A3:L109">
    <filterColumn colId="10">
      <colorFilter dxfId="0"/>
    </filterColumn>
  </autoFilter>
  <mergeCells count="42">
    <mergeCell ref="A29:A30"/>
    <mergeCell ref="B29:B30"/>
    <mergeCell ref="C29:C30"/>
    <mergeCell ref="H29:H30"/>
    <mergeCell ref="I51:I52"/>
    <mergeCell ref="A51:A56"/>
    <mergeCell ref="B54:B55"/>
    <mergeCell ref="A1:G1"/>
    <mergeCell ref="A2:G2"/>
    <mergeCell ref="A31:A42"/>
    <mergeCell ref="A43:A50"/>
    <mergeCell ref="A22:A28"/>
    <mergeCell ref="B35:B36"/>
    <mergeCell ref="B41:B42"/>
    <mergeCell ref="B10:B11"/>
    <mergeCell ref="B22:B23"/>
    <mergeCell ref="B26:B28"/>
    <mergeCell ref="B37:B38"/>
    <mergeCell ref="B43:B50"/>
    <mergeCell ref="B5:B6"/>
    <mergeCell ref="A4:A8"/>
    <mergeCell ref="A14:A21"/>
    <mergeCell ref="A10:A13"/>
    <mergeCell ref="B103:B106"/>
    <mergeCell ref="B88:B89"/>
    <mergeCell ref="A86:G86"/>
    <mergeCell ref="C69:C72"/>
    <mergeCell ref="G63:G64"/>
    <mergeCell ref="B90:B100"/>
    <mergeCell ref="G69:G72"/>
    <mergeCell ref="L51:L52"/>
    <mergeCell ref="B60:B61"/>
    <mergeCell ref="F69:F72"/>
    <mergeCell ref="A75:A85"/>
    <mergeCell ref="D69:D72"/>
    <mergeCell ref="E69:E72"/>
    <mergeCell ref="A69:A72"/>
    <mergeCell ref="A57:A68"/>
    <mergeCell ref="B63:B68"/>
    <mergeCell ref="A73:A74"/>
    <mergeCell ref="K51:K52"/>
    <mergeCell ref="J51:J52"/>
  </mergeCells>
  <hyperlinks>
    <hyperlink ref="A2" r:id="rId1"/>
  </hyperlinks>
  <pageMargins left="0.7" right="0.7" top="0.75" bottom="0.75" header="0.3" footer="0.3"/>
  <pageSetup orientation="portrait" r:id="rId2"/>
  <drawing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workbookViewId="0">
      <pane xSplit="2" ySplit="3" topLeftCell="C4" activePane="bottomRight" state="frozen"/>
      <selection activeCell="A14" sqref="A14"/>
      <selection pane="topRight" activeCell="A14" sqref="A14"/>
      <selection pane="bottomLeft" activeCell="A14" sqref="A14"/>
      <selection pane="bottomRight" activeCell="A14" sqref="A14"/>
    </sheetView>
  </sheetViews>
  <sheetFormatPr defaultRowHeight="15" x14ac:dyDescent="0.25"/>
  <cols>
    <col min="1" max="1" width="9.140625" style="62"/>
    <col min="2" max="2" width="27.5703125" style="62" customWidth="1"/>
    <col min="3" max="3" width="38.28515625" style="62" customWidth="1"/>
    <col min="4" max="4" width="9.140625" style="62"/>
    <col min="5" max="5" width="22" style="62" customWidth="1"/>
    <col min="6" max="6" width="14.85546875" style="62" customWidth="1"/>
    <col min="7" max="7" width="14.28515625" style="62" customWidth="1"/>
    <col min="8" max="8" width="13.140625" style="62" customWidth="1"/>
    <col min="9" max="9" width="20" style="62" customWidth="1"/>
    <col min="10" max="16384" width="9.140625" style="62"/>
  </cols>
  <sheetData>
    <row r="1" spans="1:9" s="5" customFormat="1" ht="19.5" x14ac:dyDescent="0.25">
      <c r="A1" s="148" t="s">
        <v>282</v>
      </c>
      <c r="B1" s="148"/>
      <c r="C1" s="148"/>
      <c r="D1" s="148"/>
      <c r="E1" s="148"/>
      <c r="F1" s="148"/>
      <c r="G1" s="148"/>
      <c r="H1" s="23"/>
    </row>
    <row r="2" spans="1:9" s="5" customFormat="1" ht="15.75" x14ac:dyDescent="0.25">
      <c r="A2" s="156" t="s">
        <v>257</v>
      </c>
      <c r="B2" s="150"/>
      <c r="C2" s="150"/>
      <c r="D2" s="150"/>
      <c r="E2" s="150"/>
      <c r="F2" s="150"/>
      <c r="G2" s="150"/>
      <c r="H2" s="10"/>
    </row>
    <row r="3" spans="1:9" s="5" customFormat="1" ht="27" customHeight="1" x14ac:dyDescent="0.25">
      <c r="A3" s="2" t="s">
        <v>61</v>
      </c>
      <c r="B3" s="2" t="s">
        <v>123</v>
      </c>
      <c r="C3" s="7" t="s">
        <v>83</v>
      </c>
      <c r="D3" s="2" t="s">
        <v>72</v>
      </c>
      <c r="E3" s="2" t="s">
        <v>84</v>
      </c>
      <c r="F3" s="2" t="s">
        <v>120</v>
      </c>
      <c r="G3" s="2" t="s">
        <v>115</v>
      </c>
      <c r="H3" s="2" t="s">
        <v>185</v>
      </c>
      <c r="I3" s="2" t="s">
        <v>287</v>
      </c>
    </row>
    <row r="4" spans="1:9" ht="75" customHeight="1" x14ac:dyDescent="0.25">
      <c r="A4" s="137">
        <v>1</v>
      </c>
      <c r="B4" s="157" t="s">
        <v>262</v>
      </c>
      <c r="C4" s="3" t="s">
        <v>263</v>
      </c>
      <c r="D4" s="3" t="s">
        <v>264</v>
      </c>
      <c r="E4" s="3" t="s">
        <v>73</v>
      </c>
      <c r="F4" s="3" t="s">
        <v>267</v>
      </c>
      <c r="G4" s="61" t="s">
        <v>283</v>
      </c>
      <c r="H4" s="3"/>
      <c r="I4" s="3"/>
    </row>
    <row r="5" spans="1:9" ht="30" x14ac:dyDescent="0.25">
      <c r="A5" s="139"/>
      <c r="B5" s="158"/>
      <c r="C5" s="3" t="s">
        <v>265</v>
      </c>
      <c r="D5" s="3" t="s">
        <v>266</v>
      </c>
      <c r="E5" s="3" t="s">
        <v>267</v>
      </c>
      <c r="F5" s="3" t="s">
        <v>73</v>
      </c>
      <c r="G5" s="61" t="s">
        <v>283</v>
      </c>
      <c r="H5" s="3"/>
      <c r="I5" s="3"/>
    </row>
    <row r="6" spans="1:9" ht="120" x14ac:dyDescent="0.25">
      <c r="A6" s="3">
        <v>2</v>
      </c>
      <c r="B6" s="3" t="s">
        <v>270</v>
      </c>
      <c r="C6" s="3" t="s">
        <v>268</v>
      </c>
      <c r="D6" s="3" t="s">
        <v>269</v>
      </c>
      <c r="E6" s="3" t="s">
        <v>73</v>
      </c>
      <c r="F6" s="3" t="s">
        <v>78</v>
      </c>
      <c r="G6" s="61" t="s">
        <v>283</v>
      </c>
      <c r="H6" s="3"/>
      <c r="I6" s="3"/>
    </row>
    <row r="7" spans="1:9" ht="45" x14ac:dyDescent="0.25">
      <c r="A7" s="137">
        <v>3</v>
      </c>
      <c r="B7" s="137" t="s">
        <v>271</v>
      </c>
      <c r="C7" s="3" t="s">
        <v>272</v>
      </c>
      <c r="D7" s="3" t="s">
        <v>273</v>
      </c>
      <c r="E7" s="3" t="s">
        <v>274</v>
      </c>
      <c r="F7" s="3" t="s">
        <v>73</v>
      </c>
      <c r="G7" s="61" t="s">
        <v>283</v>
      </c>
      <c r="H7" s="3"/>
      <c r="I7" s="3"/>
    </row>
    <row r="8" spans="1:9" ht="30" x14ac:dyDescent="0.25">
      <c r="A8" s="139"/>
      <c r="B8" s="139"/>
      <c r="C8" s="3" t="s">
        <v>275</v>
      </c>
      <c r="D8" s="3" t="s">
        <v>276</v>
      </c>
      <c r="E8" s="3"/>
      <c r="F8" s="3"/>
      <c r="G8" s="61" t="s">
        <v>283</v>
      </c>
      <c r="H8" s="3"/>
      <c r="I8" s="3"/>
    </row>
    <row r="9" spans="1:9" ht="30" x14ac:dyDescent="0.25">
      <c r="A9" s="3">
        <v>4</v>
      </c>
      <c r="B9" s="3" t="s">
        <v>277</v>
      </c>
      <c r="C9" s="3" t="s">
        <v>278</v>
      </c>
      <c r="D9" s="3" t="s">
        <v>276</v>
      </c>
      <c r="E9" s="3"/>
      <c r="F9" s="3"/>
      <c r="G9" s="61" t="s">
        <v>283</v>
      </c>
      <c r="H9" s="3"/>
      <c r="I9" s="3"/>
    </row>
    <row r="10" spans="1:9" ht="75" x14ac:dyDescent="0.25">
      <c r="A10" s="3">
        <v>5</v>
      </c>
      <c r="B10" s="3" t="s">
        <v>279</v>
      </c>
      <c r="C10" s="3" t="s">
        <v>280</v>
      </c>
      <c r="D10" s="3" t="s">
        <v>269</v>
      </c>
      <c r="E10" s="3" t="s">
        <v>73</v>
      </c>
      <c r="F10" s="3" t="s">
        <v>267</v>
      </c>
      <c r="G10" s="61" t="s">
        <v>283</v>
      </c>
      <c r="H10" s="3"/>
      <c r="I10" s="3"/>
    </row>
    <row r="12" spans="1:9" ht="25.5" customHeight="1" x14ac:dyDescent="0.25">
      <c r="B12" s="155" t="s">
        <v>281</v>
      </c>
      <c r="C12" s="155"/>
      <c r="D12" s="155"/>
      <c r="E12" s="155"/>
      <c r="F12" s="155"/>
      <c r="G12" s="155"/>
      <c r="H12" s="155"/>
      <c r="I12" s="155"/>
    </row>
    <row r="14" spans="1:9" x14ac:dyDescent="0.25">
      <c r="B14" s="63" t="s">
        <v>284</v>
      </c>
      <c r="C14" s="63"/>
      <c r="D14" s="63" t="s">
        <v>285</v>
      </c>
      <c r="E14" s="63"/>
      <c r="F14" s="63"/>
      <c r="G14" s="63" t="s">
        <v>286</v>
      </c>
    </row>
  </sheetData>
  <mergeCells count="7">
    <mergeCell ref="B12:I12"/>
    <mergeCell ref="A1:G1"/>
    <mergeCell ref="A2:G2"/>
    <mergeCell ref="B4:B5"/>
    <mergeCell ref="B7:B8"/>
    <mergeCell ref="A4:A5"/>
    <mergeCell ref="A7:A8"/>
  </mergeCells>
  <hyperlinks>
    <hyperlink ref="A2" r:id="rId1"/>
  </hyperlinks>
  <pageMargins left="0.7" right="0.17" top="0.35" bottom="0.75" header="0.3" footer="0.3"/>
  <pageSetup paperSize="9" scale="81"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106"/>
  <sheetViews>
    <sheetView zoomScaleNormal="100" workbookViewId="0">
      <pane xSplit="2" ySplit="3" topLeftCell="C4" activePane="bottomRight" state="frozen"/>
      <selection activeCell="A2" sqref="A2:G2"/>
      <selection pane="topRight" activeCell="A2" sqref="A2:G2"/>
      <selection pane="bottomLeft" activeCell="A2" sqref="A2:G2"/>
      <selection pane="bottomRight" activeCell="H108" sqref="H108"/>
    </sheetView>
  </sheetViews>
  <sheetFormatPr defaultColWidth="8.85546875" defaultRowHeight="15" x14ac:dyDescent="0.25"/>
  <cols>
    <col min="1" max="1" width="13.85546875" style="5" customWidth="1"/>
    <col min="2" max="2" width="13.42578125" style="5" customWidth="1"/>
    <col min="3" max="3" width="85.85546875" style="5" customWidth="1"/>
    <col min="4" max="4" width="12.28515625" style="5" customWidth="1"/>
    <col min="5" max="5" width="8" style="5" customWidth="1"/>
    <col min="6" max="6" width="9.28515625" style="5" customWidth="1"/>
    <col min="7" max="7" width="10.140625" style="10" customWidth="1"/>
    <col min="8" max="8" width="28.42578125" style="10" customWidth="1"/>
    <col min="9" max="9" width="47" style="5" customWidth="1"/>
    <col min="10" max="16384" width="8.85546875" style="5"/>
  </cols>
  <sheetData>
    <row r="1" spans="1:9" ht="19.5" x14ac:dyDescent="0.25">
      <c r="A1" s="148" t="s">
        <v>49</v>
      </c>
      <c r="B1" s="148"/>
      <c r="C1" s="148"/>
      <c r="D1" s="148"/>
      <c r="E1" s="148"/>
      <c r="F1" s="148"/>
      <c r="G1" s="148"/>
      <c r="H1" s="23"/>
    </row>
    <row r="2" spans="1:9" ht="15.75" x14ac:dyDescent="0.25">
      <c r="A2" s="149" t="s">
        <v>257</v>
      </c>
      <c r="B2" s="150"/>
      <c r="C2" s="150"/>
      <c r="D2" s="150"/>
      <c r="E2" s="150"/>
      <c r="F2" s="150"/>
      <c r="G2" s="150"/>
    </row>
    <row r="3" spans="1:9" ht="27" customHeight="1" x14ac:dyDescent="0.25">
      <c r="A3" s="2" t="s">
        <v>0</v>
      </c>
      <c r="B3" s="2" t="s">
        <v>123</v>
      </c>
      <c r="C3" s="7" t="s">
        <v>83</v>
      </c>
      <c r="D3" s="2" t="s">
        <v>72</v>
      </c>
      <c r="E3" s="2" t="s">
        <v>84</v>
      </c>
      <c r="F3" s="2" t="s">
        <v>120</v>
      </c>
      <c r="G3" s="2" t="s">
        <v>115</v>
      </c>
      <c r="H3" s="2" t="s">
        <v>185</v>
      </c>
      <c r="I3" s="2" t="s">
        <v>116</v>
      </c>
    </row>
    <row r="4" spans="1:9" ht="30" hidden="1" x14ac:dyDescent="0.25">
      <c r="A4" s="134" t="s">
        <v>1</v>
      </c>
      <c r="B4" s="3" t="s">
        <v>2</v>
      </c>
      <c r="C4" s="3"/>
      <c r="D4" s="3"/>
      <c r="E4" s="3"/>
      <c r="F4" s="3"/>
      <c r="G4" s="32"/>
      <c r="H4" s="32"/>
      <c r="I4" s="32"/>
    </row>
    <row r="5" spans="1:9" ht="30" hidden="1" x14ac:dyDescent="0.25">
      <c r="A5" s="134"/>
      <c r="B5" s="134" t="s">
        <v>33</v>
      </c>
      <c r="C5" s="50" t="s">
        <v>197</v>
      </c>
      <c r="D5" s="3"/>
      <c r="E5" s="3"/>
      <c r="F5" s="3"/>
      <c r="G5" s="32">
        <v>43481</v>
      </c>
      <c r="H5" s="32" t="s">
        <v>108</v>
      </c>
      <c r="I5" s="32"/>
    </row>
    <row r="6" spans="1:9" ht="30" hidden="1" x14ac:dyDescent="0.25">
      <c r="A6" s="134"/>
      <c r="B6" s="134"/>
      <c r="C6" s="50" t="s">
        <v>202</v>
      </c>
      <c r="D6" s="3"/>
      <c r="E6" s="3" t="s">
        <v>138</v>
      </c>
      <c r="F6" s="3" t="s">
        <v>137</v>
      </c>
      <c r="G6" s="32"/>
      <c r="H6" s="32" t="s">
        <v>256</v>
      </c>
      <c r="I6" s="32"/>
    </row>
    <row r="7" spans="1:9" ht="30" hidden="1" x14ac:dyDescent="0.25">
      <c r="A7" s="134"/>
      <c r="B7" s="27"/>
      <c r="C7" s="50" t="s">
        <v>254</v>
      </c>
      <c r="D7" s="3"/>
      <c r="E7" s="3" t="s">
        <v>138</v>
      </c>
      <c r="F7" s="3" t="s">
        <v>137</v>
      </c>
      <c r="G7" s="32"/>
      <c r="H7" s="32" t="s">
        <v>255</v>
      </c>
      <c r="I7" s="32"/>
    </row>
    <row r="8" spans="1:9" ht="45" hidden="1" x14ac:dyDescent="0.25">
      <c r="A8" s="134"/>
      <c r="B8" s="3" t="s">
        <v>34</v>
      </c>
      <c r="C8" s="3"/>
      <c r="D8" s="3"/>
      <c r="E8" s="3"/>
      <c r="F8" s="3"/>
      <c r="G8" s="32"/>
      <c r="H8" s="32" t="s">
        <v>108</v>
      </c>
      <c r="I8" s="32"/>
    </row>
    <row r="9" spans="1:9" ht="30" hidden="1" x14ac:dyDescent="0.25">
      <c r="A9" s="27" t="s">
        <v>147</v>
      </c>
      <c r="B9" s="3"/>
      <c r="C9" s="4" t="s">
        <v>148</v>
      </c>
      <c r="D9" s="3"/>
      <c r="E9" s="3" t="s">
        <v>137</v>
      </c>
      <c r="F9" s="3" t="s">
        <v>138</v>
      </c>
      <c r="G9" s="32">
        <v>43473</v>
      </c>
      <c r="H9" s="32" t="s">
        <v>108</v>
      </c>
      <c r="I9" s="32"/>
    </row>
    <row r="10" spans="1:9" ht="99.75" hidden="1" customHeight="1" x14ac:dyDescent="0.25">
      <c r="A10" s="134" t="s">
        <v>51</v>
      </c>
      <c r="B10" s="134" t="s">
        <v>53</v>
      </c>
      <c r="C10" s="3" t="s">
        <v>162</v>
      </c>
      <c r="D10" s="3"/>
      <c r="E10" s="3" t="s">
        <v>137</v>
      </c>
      <c r="F10" s="3" t="s">
        <v>163</v>
      </c>
      <c r="G10" s="32">
        <v>43474</v>
      </c>
      <c r="H10" s="32" t="s">
        <v>108</v>
      </c>
      <c r="I10" s="32"/>
    </row>
    <row r="11" spans="1:9" ht="30" hidden="1" x14ac:dyDescent="0.25">
      <c r="A11" s="134"/>
      <c r="B11" s="134"/>
      <c r="C11" s="28" t="s">
        <v>199</v>
      </c>
      <c r="D11" s="3"/>
      <c r="E11" s="3"/>
      <c r="F11" s="3"/>
      <c r="G11" s="32">
        <v>43481</v>
      </c>
      <c r="H11" s="32" t="s">
        <v>108</v>
      </c>
      <c r="I11" s="32"/>
    </row>
    <row r="12" spans="1:9" ht="89.25" hidden="1" customHeight="1" x14ac:dyDescent="0.25">
      <c r="A12" s="134"/>
      <c r="B12" s="3" t="s">
        <v>3</v>
      </c>
      <c r="C12" s="28" t="s">
        <v>232</v>
      </c>
      <c r="D12" s="57" t="s">
        <v>250</v>
      </c>
      <c r="E12" s="3" t="s">
        <v>181</v>
      </c>
      <c r="F12" s="3" t="s">
        <v>137</v>
      </c>
      <c r="G12" s="32"/>
      <c r="H12" s="41" t="s">
        <v>252</v>
      </c>
      <c r="I12" s="32"/>
    </row>
    <row r="13" spans="1:9" hidden="1" x14ac:dyDescent="0.25">
      <c r="A13" s="134"/>
      <c r="B13" s="3" t="s">
        <v>30</v>
      </c>
      <c r="C13" s="29"/>
      <c r="D13" s="32"/>
      <c r="E13" s="3"/>
      <c r="F13" s="3"/>
      <c r="G13" s="32"/>
      <c r="H13" s="32"/>
      <c r="I13" s="32"/>
    </row>
    <row r="14" spans="1:9" hidden="1" x14ac:dyDescent="0.25">
      <c r="A14" s="134" t="s">
        <v>5</v>
      </c>
      <c r="B14" s="51" t="s">
        <v>6</v>
      </c>
      <c r="C14" s="3" t="s">
        <v>235</v>
      </c>
      <c r="D14" s="3"/>
      <c r="E14" s="3"/>
      <c r="F14" s="3"/>
      <c r="G14" s="32"/>
      <c r="H14" s="32" t="s">
        <v>108</v>
      </c>
      <c r="I14" s="32"/>
    </row>
    <row r="15" spans="1:9" hidden="1" x14ac:dyDescent="0.25">
      <c r="A15" s="134"/>
      <c r="B15" s="51" t="s">
        <v>7</v>
      </c>
      <c r="C15" s="3" t="s">
        <v>235</v>
      </c>
      <c r="D15" s="3"/>
      <c r="E15" s="3"/>
      <c r="F15" s="3"/>
      <c r="G15" s="32"/>
      <c r="H15" s="32" t="s">
        <v>108</v>
      </c>
      <c r="I15" s="32"/>
    </row>
    <row r="16" spans="1:9" hidden="1" x14ac:dyDescent="0.25">
      <c r="A16" s="134"/>
      <c r="B16" s="51" t="s">
        <v>8</v>
      </c>
      <c r="C16" s="3"/>
      <c r="D16" s="3"/>
      <c r="E16" s="3"/>
      <c r="F16" s="3"/>
      <c r="G16" s="32"/>
      <c r="H16" s="32"/>
      <c r="I16" s="32"/>
    </row>
    <row r="17" spans="1:9" hidden="1" x14ac:dyDescent="0.25">
      <c r="A17" s="134"/>
      <c r="B17" s="51" t="s">
        <v>9</v>
      </c>
      <c r="C17" s="3" t="s">
        <v>235</v>
      </c>
      <c r="D17" s="3"/>
      <c r="E17" s="3"/>
      <c r="F17" s="3"/>
      <c r="G17" s="32"/>
      <c r="H17" s="32" t="s">
        <v>108</v>
      </c>
      <c r="I17" s="32"/>
    </row>
    <row r="18" spans="1:9" hidden="1" x14ac:dyDescent="0.25">
      <c r="A18" s="134"/>
      <c r="B18" s="51" t="s">
        <v>10</v>
      </c>
      <c r="C18" s="3"/>
      <c r="D18" s="3"/>
      <c r="E18" s="3"/>
      <c r="F18" s="3"/>
      <c r="G18" s="32"/>
      <c r="H18" s="32"/>
      <c r="I18" s="32"/>
    </row>
    <row r="19" spans="1:9" hidden="1" x14ac:dyDescent="0.25">
      <c r="A19" s="134"/>
      <c r="B19" s="51" t="s">
        <v>11</v>
      </c>
      <c r="C19" s="3" t="s">
        <v>235</v>
      </c>
      <c r="D19" s="3"/>
      <c r="E19" s="3"/>
      <c r="F19" s="3"/>
      <c r="G19" s="32"/>
      <c r="H19" s="32" t="s">
        <v>108</v>
      </c>
      <c r="I19" s="32"/>
    </row>
    <row r="20" spans="1:9" ht="30" hidden="1" x14ac:dyDescent="0.25">
      <c r="A20" s="134"/>
      <c r="B20" s="3" t="s">
        <v>35</v>
      </c>
      <c r="C20" s="3"/>
      <c r="D20" s="3"/>
      <c r="E20" s="3"/>
      <c r="F20" s="3"/>
      <c r="G20" s="32"/>
      <c r="H20" s="32"/>
      <c r="I20" s="32"/>
    </row>
    <row r="21" spans="1:9" ht="45" hidden="1" x14ac:dyDescent="0.25">
      <c r="A21" s="134"/>
      <c r="B21" s="3" t="s">
        <v>36</v>
      </c>
      <c r="C21" s="3"/>
      <c r="D21" s="3"/>
      <c r="E21" s="3"/>
      <c r="F21" s="3"/>
      <c r="G21" s="32"/>
      <c r="H21" s="32"/>
      <c r="I21" s="32"/>
    </row>
    <row r="22" spans="1:9" ht="90" hidden="1" x14ac:dyDescent="0.25">
      <c r="A22" s="134" t="s">
        <v>12</v>
      </c>
      <c r="B22" s="151" t="s">
        <v>136</v>
      </c>
      <c r="C22" s="4" t="s">
        <v>145</v>
      </c>
      <c r="D22" s="3"/>
      <c r="E22" s="3" t="s">
        <v>137</v>
      </c>
      <c r="F22" s="3" t="s">
        <v>138</v>
      </c>
      <c r="G22" s="32">
        <v>43473</v>
      </c>
      <c r="H22" s="32" t="s">
        <v>108</v>
      </c>
      <c r="I22" s="32"/>
    </row>
    <row r="23" spans="1:9" x14ac:dyDescent="0.25">
      <c r="A23" s="134"/>
      <c r="B23" s="151"/>
      <c r="C23" s="3" t="s">
        <v>139</v>
      </c>
      <c r="D23" s="3"/>
      <c r="E23" s="3" t="s">
        <v>138</v>
      </c>
      <c r="F23" s="3" t="s">
        <v>137</v>
      </c>
      <c r="G23" s="32">
        <v>43473</v>
      </c>
      <c r="H23" s="32" t="s">
        <v>246</v>
      </c>
      <c r="I23" s="32"/>
    </row>
    <row r="24" spans="1:9" hidden="1" x14ac:dyDescent="0.25">
      <c r="A24" s="134"/>
      <c r="B24" s="3" t="s">
        <v>140</v>
      </c>
      <c r="C24" s="28" t="s">
        <v>198</v>
      </c>
      <c r="D24" s="3"/>
      <c r="E24" s="3"/>
      <c r="F24" s="3"/>
      <c r="G24" s="32">
        <v>43481</v>
      </c>
      <c r="H24" s="32" t="s">
        <v>108</v>
      </c>
      <c r="I24" s="32"/>
    </row>
    <row r="25" spans="1:9" hidden="1" x14ac:dyDescent="0.25">
      <c r="A25" s="134"/>
      <c r="B25" s="3" t="s">
        <v>141</v>
      </c>
      <c r="C25" s="3"/>
      <c r="D25" s="3"/>
      <c r="E25" s="3"/>
      <c r="F25" s="3"/>
      <c r="G25" s="32"/>
      <c r="H25" s="32"/>
      <c r="I25" s="32"/>
    </row>
    <row r="26" spans="1:9" hidden="1" x14ac:dyDescent="0.25">
      <c r="A26" s="134"/>
      <c r="B26" s="152" t="s">
        <v>142</v>
      </c>
      <c r="C26" s="3"/>
      <c r="D26" s="3"/>
      <c r="E26" s="3"/>
      <c r="F26" s="3"/>
      <c r="G26" s="32"/>
      <c r="H26" s="32"/>
      <c r="I26" s="32"/>
    </row>
    <row r="27" spans="1:9" ht="30" hidden="1" x14ac:dyDescent="0.25">
      <c r="A27" s="134"/>
      <c r="B27" s="152"/>
      <c r="C27" s="3" t="s">
        <v>149</v>
      </c>
      <c r="D27" s="51"/>
      <c r="E27" s="3" t="s">
        <v>137</v>
      </c>
      <c r="F27" s="3" t="s">
        <v>138</v>
      </c>
      <c r="G27" s="32">
        <v>43473</v>
      </c>
      <c r="H27" s="32" t="s">
        <v>108</v>
      </c>
      <c r="I27" s="32"/>
    </row>
    <row r="28" spans="1:9" ht="30" hidden="1" x14ac:dyDescent="0.25">
      <c r="A28" s="134"/>
      <c r="B28" s="152"/>
      <c r="C28" s="3" t="s">
        <v>146</v>
      </c>
      <c r="D28" s="51"/>
      <c r="E28" s="3" t="s">
        <v>137</v>
      </c>
      <c r="F28" s="3" t="s">
        <v>138</v>
      </c>
      <c r="G28" s="32">
        <v>43473</v>
      </c>
      <c r="H28" s="32" t="s">
        <v>108</v>
      </c>
      <c r="I28" s="32"/>
    </row>
    <row r="29" spans="1:9" hidden="1" x14ac:dyDescent="0.25">
      <c r="A29" s="27" t="s">
        <v>13</v>
      </c>
      <c r="B29" s="3" t="s">
        <v>37</v>
      </c>
      <c r="C29" s="3"/>
      <c r="D29" s="51"/>
      <c r="E29" s="3"/>
      <c r="F29" s="3"/>
      <c r="G29" s="32"/>
      <c r="H29" s="32"/>
      <c r="I29" s="32"/>
    </row>
    <row r="30" spans="1:9" ht="45" hidden="1" x14ac:dyDescent="0.25">
      <c r="A30" s="134" t="s">
        <v>14</v>
      </c>
      <c r="B30" s="3" t="s">
        <v>191</v>
      </c>
      <c r="C30" s="50" t="s">
        <v>195</v>
      </c>
      <c r="D30" s="51"/>
      <c r="E30" s="3" t="s">
        <v>137</v>
      </c>
      <c r="F30" s="3" t="s">
        <v>138</v>
      </c>
      <c r="G30" s="32">
        <v>43473</v>
      </c>
      <c r="H30" s="32" t="s">
        <v>108</v>
      </c>
      <c r="I30" s="32"/>
    </row>
    <row r="31" spans="1:9" ht="75" hidden="1" x14ac:dyDescent="0.25">
      <c r="A31" s="134"/>
      <c r="B31" s="3" t="s">
        <v>4</v>
      </c>
      <c r="C31" s="3" t="s">
        <v>92</v>
      </c>
      <c r="D31" s="32">
        <v>43480</v>
      </c>
      <c r="E31" s="3" t="s">
        <v>137</v>
      </c>
      <c r="F31" s="3" t="s">
        <v>138</v>
      </c>
      <c r="G31" s="32" t="s">
        <v>111</v>
      </c>
      <c r="H31" s="32" t="s">
        <v>247</v>
      </c>
      <c r="I31" s="32"/>
    </row>
    <row r="32" spans="1:9" ht="30" hidden="1" x14ac:dyDescent="0.25">
      <c r="A32" s="134"/>
      <c r="B32" s="3" t="s">
        <v>24</v>
      </c>
      <c r="C32" s="3"/>
      <c r="D32" s="8"/>
      <c r="E32" s="3"/>
      <c r="F32" s="3"/>
      <c r="G32" s="32"/>
      <c r="H32" s="32"/>
      <c r="I32" s="32"/>
    </row>
    <row r="33" spans="1:9" ht="45" hidden="1" x14ac:dyDescent="0.25">
      <c r="A33" s="134"/>
      <c r="B33" s="3" t="s">
        <v>25</v>
      </c>
      <c r="C33" s="50" t="s">
        <v>200</v>
      </c>
      <c r="D33" s="8"/>
      <c r="E33" s="3"/>
      <c r="F33" s="3"/>
      <c r="G33" s="32">
        <v>43479</v>
      </c>
      <c r="H33" s="32" t="s">
        <v>108</v>
      </c>
      <c r="I33" s="32"/>
    </row>
    <row r="34" spans="1:9" ht="30" hidden="1" x14ac:dyDescent="0.25">
      <c r="A34" s="134"/>
      <c r="B34" s="134" t="s">
        <v>26</v>
      </c>
      <c r="C34" s="4" t="s">
        <v>182</v>
      </c>
      <c r="D34" s="52"/>
      <c r="E34" s="3" t="s">
        <v>183</v>
      </c>
      <c r="F34" s="3" t="s">
        <v>137</v>
      </c>
      <c r="G34" s="32">
        <v>43474</v>
      </c>
      <c r="H34" s="32" t="s">
        <v>108</v>
      </c>
      <c r="I34" s="32"/>
    </row>
    <row r="35" spans="1:9" ht="30" hidden="1" x14ac:dyDescent="0.25">
      <c r="A35" s="134"/>
      <c r="B35" s="134"/>
      <c r="C35" s="4" t="s">
        <v>186</v>
      </c>
      <c r="D35" s="52"/>
      <c r="E35" s="3" t="s">
        <v>137</v>
      </c>
      <c r="F35" s="3" t="s">
        <v>183</v>
      </c>
      <c r="G35" s="32">
        <v>43474</v>
      </c>
      <c r="H35" s="32" t="s">
        <v>108</v>
      </c>
      <c r="I35" s="32"/>
    </row>
    <row r="36" spans="1:9" ht="90" hidden="1" x14ac:dyDescent="0.25">
      <c r="A36" s="134"/>
      <c r="B36" s="134" t="s">
        <v>27</v>
      </c>
      <c r="C36" s="4" t="s">
        <v>187</v>
      </c>
      <c r="D36" s="52"/>
      <c r="E36" s="3" t="s">
        <v>163</v>
      </c>
      <c r="F36" s="3" t="s">
        <v>137</v>
      </c>
      <c r="G36" s="32">
        <v>43474</v>
      </c>
      <c r="H36" s="32" t="s">
        <v>108</v>
      </c>
      <c r="I36" s="3"/>
    </row>
    <row r="37" spans="1:9" ht="30" hidden="1" x14ac:dyDescent="0.25">
      <c r="A37" s="134"/>
      <c r="B37" s="134"/>
      <c r="C37" s="4" t="s">
        <v>188</v>
      </c>
      <c r="D37" s="52"/>
      <c r="E37" s="3" t="s">
        <v>137</v>
      </c>
      <c r="F37" s="3" t="s">
        <v>163</v>
      </c>
      <c r="G37" s="32">
        <v>43474</v>
      </c>
      <c r="H37" s="32" t="s">
        <v>108</v>
      </c>
      <c r="I37" s="3"/>
    </row>
    <row r="38" spans="1:9" ht="30" hidden="1" x14ac:dyDescent="0.25">
      <c r="A38" s="134"/>
      <c r="B38" s="3" t="s">
        <v>50</v>
      </c>
      <c r="C38" s="3"/>
      <c r="D38" s="8"/>
      <c r="E38" s="3"/>
      <c r="F38" s="3"/>
      <c r="G38" s="32"/>
      <c r="H38" s="32"/>
      <c r="I38" s="32"/>
    </row>
    <row r="39" spans="1:9" ht="30" hidden="1" x14ac:dyDescent="0.25">
      <c r="A39" s="134"/>
      <c r="B39" s="3" t="s">
        <v>28</v>
      </c>
      <c r="C39" s="3"/>
      <c r="D39" s="8"/>
      <c r="E39" s="3"/>
      <c r="F39" s="3"/>
      <c r="G39" s="32"/>
      <c r="H39" s="32"/>
      <c r="I39" s="32"/>
    </row>
    <row r="40" spans="1:9" ht="98.25" hidden="1" customHeight="1" x14ac:dyDescent="0.25">
      <c r="A40" s="134"/>
      <c r="B40" s="134" t="s">
        <v>160</v>
      </c>
      <c r="C40" s="28" t="s">
        <v>251</v>
      </c>
      <c r="D40" s="57" t="s">
        <v>250</v>
      </c>
      <c r="E40" s="3" t="s">
        <v>181</v>
      </c>
      <c r="F40" s="3" t="s">
        <v>137</v>
      </c>
      <c r="G40" s="32">
        <v>43481</v>
      </c>
      <c r="H40" s="41" t="s">
        <v>252</v>
      </c>
      <c r="I40" s="49" t="s">
        <v>203</v>
      </c>
    </row>
    <row r="41" spans="1:9" ht="210" hidden="1" x14ac:dyDescent="0.25">
      <c r="A41" s="134"/>
      <c r="B41" s="134"/>
      <c r="C41" s="55" t="s">
        <v>161</v>
      </c>
      <c r="D41" s="52"/>
      <c r="E41" s="3" t="s">
        <v>137</v>
      </c>
      <c r="F41" s="3" t="s">
        <v>138</v>
      </c>
      <c r="G41" s="32">
        <v>43474</v>
      </c>
      <c r="H41" s="32" t="s">
        <v>247</v>
      </c>
      <c r="I41" s="3" t="s">
        <v>114</v>
      </c>
    </row>
    <row r="42" spans="1:9" ht="135" hidden="1" x14ac:dyDescent="0.25">
      <c r="A42" s="134" t="s">
        <v>29</v>
      </c>
      <c r="B42" s="134" t="s">
        <v>29</v>
      </c>
      <c r="C42" s="29" t="s">
        <v>117</v>
      </c>
      <c r="D42" s="8">
        <v>43480</v>
      </c>
      <c r="E42" s="3" t="s">
        <v>137</v>
      </c>
      <c r="F42" s="3" t="s">
        <v>118</v>
      </c>
      <c r="G42" s="32" t="s">
        <v>122</v>
      </c>
      <c r="H42" s="32" t="s">
        <v>108</v>
      </c>
      <c r="I42" s="3"/>
    </row>
    <row r="43" spans="1:9" ht="45" hidden="1" x14ac:dyDescent="0.25">
      <c r="A43" s="134"/>
      <c r="B43" s="134"/>
      <c r="C43" s="29" t="s">
        <v>119</v>
      </c>
      <c r="D43" s="8">
        <v>43462</v>
      </c>
      <c r="E43" s="3" t="s">
        <v>163</v>
      </c>
      <c r="F43" s="3" t="s">
        <v>137</v>
      </c>
      <c r="G43" s="32" t="s">
        <v>122</v>
      </c>
      <c r="H43" s="32" t="s">
        <v>108</v>
      </c>
      <c r="I43" s="30"/>
    </row>
    <row r="44" spans="1:9" ht="60" hidden="1" x14ac:dyDescent="0.25">
      <c r="A44" s="134"/>
      <c r="B44" s="134"/>
      <c r="C44" s="29" t="s">
        <v>171</v>
      </c>
      <c r="D44" s="52"/>
      <c r="E44" s="3" t="s">
        <v>137</v>
      </c>
      <c r="F44" s="3" t="s">
        <v>163</v>
      </c>
      <c r="G44" s="32">
        <v>43474</v>
      </c>
      <c r="H44" s="32" t="s">
        <v>108</v>
      </c>
      <c r="I44" s="30"/>
    </row>
    <row r="45" spans="1:9" ht="45" hidden="1" x14ac:dyDescent="0.25">
      <c r="A45" s="134"/>
      <c r="B45" s="134"/>
      <c r="C45" s="29" t="s">
        <v>167</v>
      </c>
      <c r="D45" s="52"/>
      <c r="E45" s="3" t="s">
        <v>137</v>
      </c>
      <c r="F45" s="3" t="s">
        <v>163</v>
      </c>
      <c r="G45" s="32">
        <v>43474</v>
      </c>
      <c r="H45" s="32" t="s">
        <v>247</v>
      </c>
      <c r="I45" s="30"/>
    </row>
    <row r="46" spans="1:9" ht="75" hidden="1" x14ac:dyDescent="0.25">
      <c r="A46" s="134"/>
      <c r="B46" s="134"/>
      <c r="C46" s="29" t="s">
        <v>189</v>
      </c>
      <c r="D46" s="52"/>
      <c r="E46" s="3" t="s">
        <v>137</v>
      </c>
      <c r="F46" s="3" t="s">
        <v>163</v>
      </c>
      <c r="G46" s="32">
        <v>43474</v>
      </c>
      <c r="H46" s="32" t="s">
        <v>108</v>
      </c>
      <c r="I46" s="29" t="s">
        <v>166</v>
      </c>
    </row>
    <row r="47" spans="1:9" ht="105" hidden="1" x14ac:dyDescent="0.25">
      <c r="A47" s="134"/>
      <c r="B47" s="134"/>
      <c r="C47" s="29" t="s">
        <v>172</v>
      </c>
      <c r="D47" s="52"/>
      <c r="E47" s="3" t="s">
        <v>181</v>
      </c>
      <c r="F47" s="3" t="s">
        <v>137</v>
      </c>
      <c r="G47" s="32">
        <v>43474</v>
      </c>
      <c r="H47" s="58" t="s">
        <v>253</v>
      </c>
      <c r="I47" s="30"/>
    </row>
    <row r="48" spans="1:9" ht="45" hidden="1" x14ac:dyDescent="0.25">
      <c r="A48" s="134"/>
      <c r="B48" s="134"/>
      <c r="C48" s="31" t="s">
        <v>201</v>
      </c>
      <c r="D48" s="52"/>
      <c r="E48" s="3"/>
      <c r="F48" s="3"/>
      <c r="G48" s="32">
        <v>43479</v>
      </c>
      <c r="H48" s="32" t="s">
        <v>108</v>
      </c>
      <c r="I48" s="30"/>
    </row>
    <row r="49" spans="1:9" ht="30" hidden="1" x14ac:dyDescent="0.25">
      <c r="A49" s="134"/>
      <c r="B49" s="134"/>
      <c r="C49" s="3" t="s">
        <v>168</v>
      </c>
      <c r="D49" s="52"/>
      <c r="E49" s="3" t="s">
        <v>137</v>
      </c>
      <c r="F49" s="3" t="s">
        <v>163</v>
      </c>
      <c r="G49" s="32">
        <v>43474</v>
      </c>
      <c r="H49" s="32" t="s">
        <v>247</v>
      </c>
      <c r="I49" s="51"/>
    </row>
    <row r="50" spans="1:9" ht="45" hidden="1" x14ac:dyDescent="0.25">
      <c r="A50" s="134" t="s">
        <v>15</v>
      </c>
      <c r="B50" s="3" t="s">
        <v>20</v>
      </c>
      <c r="C50" s="3" t="s">
        <v>85</v>
      </c>
      <c r="D50" s="8">
        <v>43480</v>
      </c>
      <c r="E50" s="3" t="s">
        <v>184</v>
      </c>
      <c r="F50" s="3" t="s">
        <v>87</v>
      </c>
      <c r="G50" s="8" t="s">
        <v>112</v>
      </c>
      <c r="H50" s="32" t="s">
        <v>247</v>
      </c>
      <c r="I50" s="131"/>
    </row>
    <row r="51" spans="1:9" ht="60" hidden="1" x14ac:dyDescent="0.25">
      <c r="A51" s="134"/>
      <c r="B51" s="3" t="s">
        <v>32</v>
      </c>
      <c r="C51" s="4" t="s">
        <v>157</v>
      </c>
      <c r="D51" s="52"/>
      <c r="E51" s="3" t="s">
        <v>137</v>
      </c>
      <c r="F51" s="3" t="s">
        <v>138</v>
      </c>
      <c r="G51" s="32">
        <v>43474</v>
      </c>
      <c r="H51" s="32" t="s">
        <v>108</v>
      </c>
      <c r="I51" s="131"/>
    </row>
    <row r="52" spans="1:9" ht="189" hidden="1" x14ac:dyDescent="0.25">
      <c r="A52" s="134"/>
      <c r="B52" s="3" t="s">
        <v>156</v>
      </c>
      <c r="C52" s="33" t="s">
        <v>204</v>
      </c>
      <c r="D52" s="52"/>
      <c r="E52" s="3" t="s">
        <v>137</v>
      </c>
      <c r="F52" s="3" t="s">
        <v>138</v>
      </c>
      <c r="G52" s="32">
        <v>43474</v>
      </c>
      <c r="H52" s="32" t="s">
        <v>108</v>
      </c>
      <c r="I52" s="32"/>
    </row>
    <row r="53" spans="1:9" ht="165" hidden="1" x14ac:dyDescent="0.25">
      <c r="A53" s="134"/>
      <c r="B53" s="134" t="s">
        <v>155</v>
      </c>
      <c r="C53" s="34" t="s">
        <v>206</v>
      </c>
      <c r="D53" s="49"/>
      <c r="E53" s="3" t="s">
        <v>137</v>
      </c>
      <c r="F53" s="3" t="s">
        <v>138</v>
      </c>
      <c r="G53" s="32">
        <v>43474</v>
      </c>
      <c r="H53" s="32" t="s">
        <v>247</v>
      </c>
      <c r="I53" s="32"/>
    </row>
    <row r="54" spans="1:9" ht="60" hidden="1" x14ac:dyDescent="0.25">
      <c r="A54" s="134"/>
      <c r="B54" s="134"/>
      <c r="C54" s="34" t="s">
        <v>205</v>
      </c>
      <c r="D54" s="49"/>
      <c r="E54" s="3"/>
      <c r="F54" s="3"/>
      <c r="G54" s="32"/>
      <c r="H54" s="32" t="s">
        <v>108</v>
      </c>
      <c r="I54" s="32"/>
    </row>
    <row r="55" spans="1:9" ht="45" hidden="1" x14ac:dyDescent="0.25">
      <c r="A55" s="134"/>
      <c r="B55" s="3" t="s">
        <v>158</v>
      </c>
      <c r="C55" s="35" t="s">
        <v>159</v>
      </c>
      <c r="D55" s="49"/>
      <c r="E55" s="3" t="s">
        <v>137</v>
      </c>
      <c r="F55" s="3" t="s">
        <v>138</v>
      </c>
      <c r="G55" s="32">
        <v>43474</v>
      </c>
      <c r="H55" s="32" t="s">
        <v>108</v>
      </c>
      <c r="I55" s="32"/>
    </row>
    <row r="56" spans="1:9" ht="45" hidden="1" x14ac:dyDescent="0.25">
      <c r="A56" s="137" t="s">
        <v>16</v>
      </c>
      <c r="B56" s="3" t="s">
        <v>17</v>
      </c>
      <c r="C56" s="36" t="s">
        <v>170</v>
      </c>
      <c r="D56" s="52"/>
      <c r="E56" s="3" t="s">
        <v>137</v>
      </c>
      <c r="F56" s="3" t="s">
        <v>138</v>
      </c>
      <c r="G56" s="37">
        <v>43474</v>
      </c>
      <c r="H56" s="32" t="s">
        <v>108</v>
      </c>
      <c r="I56" s="8"/>
    </row>
    <row r="57" spans="1:9" hidden="1" x14ac:dyDescent="0.25">
      <c r="A57" s="138"/>
      <c r="B57" s="3" t="s">
        <v>18</v>
      </c>
      <c r="C57" s="36"/>
      <c r="D57" s="8"/>
      <c r="E57" s="3"/>
      <c r="F57" s="3"/>
      <c r="G57" s="38"/>
      <c r="H57" s="32"/>
      <c r="I57" s="8"/>
    </row>
    <row r="58" spans="1:9" ht="120" hidden="1" x14ac:dyDescent="0.25">
      <c r="A58" s="138"/>
      <c r="B58" s="39" t="s">
        <v>31</v>
      </c>
      <c r="C58" s="36" t="s">
        <v>169</v>
      </c>
      <c r="D58" s="8">
        <v>43480</v>
      </c>
      <c r="E58" s="3" t="s">
        <v>137</v>
      </c>
      <c r="F58" s="3" t="s">
        <v>87</v>
      </c>
      <c r="G58" s="40" t="s">
        <v>192</v>
      </c>
      <c r="H58" s="32" t="s">
        <v>108</v>
      </c>
      <c r="I58" s="3"/>
    </row>
    <row r="59" spans="1:9" ht="30" hidden="1" x14ac:dyDescent="0.25">
      <c r="A59" s="138"/>
      <c r="B59" s="132" t="s">
        <v>152</v>
      </c>
      <c r="C59" s="29" t="s">
        <v>176</v>
      </c>
      <c r="D59" s="49"/>
      <c r="E59" s="3" t="s">
        <v>137</v>
      </c>
      <c r="F59" s="3" t="s">
        <v>138</v>
      </c>
      <c r="G59" s="41">
        <v>43473</v>
      </c>
      <c r="H59" s="32" t="s">
        <v>108</v>
      </c>
      <c r="I59" s="3"/>
    </row>
    <row r="60" spans="1:9" ht="30" hidden="1" x14ac:dyDescent="0.25">
      <c r="A60" s="138"/>
      <c r="B60" s="132"/>
      <c r="C60" s="42" t="s">
        <v>177</v>
      </c>
      <c r="D60" s="49"/>
      <c r="E60" s="27" t="s">
        <v>137</v>
      </c>
      <c r="F60" s="27" t="s">
        <v>138</v>
      </c>
      <c r="G60" s="44">
        <v>43474</v>
      </c>
      <c r="H60" s="32" t="s">
        <v>108</v>
      </c>
      <c r="I60" s="3"/>
    </row>
    <row r="61" spans="1:9" ht="45" hidden="1" x14ac:dyDescent="0.25">
      <c r="A61" s="138"/>
      <c r="B61" s="39" t="s">
        <v>153</v>
      </c>
      <c r="C61" s="39" t="s">
        <v>190</v>
      </c>
      <c r="D61" s="49"/>
      <c r="E61" s="27" t="s">
        <v>138</v>
      </c>
      <c r="F61" s="27" t="s">
        <v>137</v>
      </c>
      <c r="G61" s="41">
        <v>43473</v>
      </c>
      <c r="H61" s="32" t="s">
        <v>108</v>
      </c>
      <c r="I61" s="3"/>
    </row>
    <row r="62" spans="1:9" ht="30" hidden="1" x14ac:dyDescent="0.25">
      <c r="A62" s="138"/>
      <c r="B62" s="140" t="s">
        <v>19</v>
      </c>
      <c r="C62" s="29" t="s">
        <v>91</v>
      </c>
      <c r="D62" s="32">
        <v>43480</v>
      </c>
      <c r="E62" s="27" t="s">
        <v>137</v>
      </c>
      <c r="F62" s="27" t="s">
        <v>121</v>
      </c>
      <c r="G62" s="146" t="s">
        <v>113</v>
      </c>
      <c r="H62" s="32" t="s">
        <v>108</v>
      </c>
      <c r="I62" s="3"/>
    </row>
    <row r="63" spans="1:9" ht="45" hidden="1" x14ac:dyDescent="0.25">
      <c r="A63" s="138"/>
      <c r="B63" s="141"/>
      <c r="C63" s="45" t="s">
        <v>131</v>
      </c>
      <c r="D63" s="41" t="s">
        <v>132</v>
      </c>
      <c r="E63" s="27" t="s">
        <v>137</v>
      </c>
      <c r="F63" s="27" t="s">
        <v>138</v>
      </c>
      <c r="G63" s="146"/>
      <c r="H63" s="32" t="s">
        <v>247</v>
      </c>
      <c r="I63" s="3"/>
    </row>
    <row r="64" spans="1:9" ht="30" hidden="1" x14ac:dyDescent="0.25">
      <c r="A64" s="138"/>
      <c r="B64" s="141"/>
      <c r="C64" s="45" t="s">
        <v>173</v>
      </c>
      <c r="D64" s="53"/>
      <c r="E64" s="27" t="s">
        <v>137</v>
      </c>
      <c r="F64" s="27" t="s">
        <v>138</v>
      </c>
      <c r="G64" s="44">
        <v>43474</v>
      </c>
      <c r="H64" s="32" t="s">
        <v>108</v>
      </c>
      <c r="I64" s="3"/>
    </row>
    <row r="65" spans="1:9" ht="30" hidden="1" x14ac:dyDescent="0.25">
      <c r="A65" s="138"/>
      <c r="B65" s="141"/>
      <c r="C65" s="45" t="s">
        <v>207</v>
      </c>
      <c r="D65" s="53"/>
      <c r="E65" s="27" t="s">
        <v>137</v>
      </c>
      <c r="F65" s="27" t="s">
        <v>138</v>
      </c>
      <c r="G65" s="44">
        <v>43474</v>
      </c>
      <c r="H65" s="32" t="s">
        <v>108</v>
      </c>
      <c r="I65" s="3"/>
    </row>
    <row r="66" spans="1:9" ht="30" hidden="1" x14ac:dyDescent="0.25">
      <c r="A66" s="138"/>
      <c r="B66" s="141"/>
      <c r="C66" s="45" t="s">
        <v>174</v>
      </c>
      <c r="D66" s="53"/>
      <c r="E66" s="27" t="s">
        <v>137</v>
      </c>
      <c r="F66" s="27" t="s">
        <v>138</v>
      </c>
      <c r="G66" s="44">
        <v>43474</v>
      </c>
      <c r="H66" s="27" t="s">
        <v>108</v>
      </c>
      <c r="I66" s="3"/>
    </row>
    <row r="67" spans="1:9" x14ac:dyDescent="0.25">
      <c r="A67" s="139"/>
      <c r="B67" s="142"/>
      <c r="C67" s="45" t="s">
        <v>244</v>
      </c>
      <c r="D67" s="53"/>
      <c r="E67" s="27" t="s">
        <v>138</v>
      </c>
      <c r="F67" s="27" t="s">
        <v>137</v>
      </c>
      <c r="G67" s="44">
        <v>43828</v>
      </c>
      <c r="H67" s="27" t="s">
        <v>245</v>
      </c>
      <c r="I67" s="3"/>
    </row>
    <row r="68" spans="1:9" ht="30" x14ac:dyDescent="0.25">
      <c r="A68" s="134" t="s">
        <v>94</v>
      </c>
      <c r="B68" s="46" t="s">
        <v>99</v>
      </c>
      <c r="C68" s="144" t="s">
        <v>196</v>
      </c>
      <c r="D68" s="135" t="s">
        <v>103</v>
      </c>
      <c r="E68" s="135" t="s">
        <v>104</v>
      </c>
      <c r="F68" s="133" t="s">
        <v>87</v>
      </c>
      <c r="G68" s="147" t="s">
        <v>236</v>
      </c>
      <c r="H68" s="32" t="s">
        <v>248</v>
      </c>
      <c r="I68" s="3"/>
    </row>
    <row r="69" spans="1:9" ht="30" x14ac:dyDescent="0.25">
      <c r="A69" s="134"/>
      <c r="B69" s="46" t="s">
        <v>100</v>
      </c>
      <c r="C69" s="145"/>
      <c r="D69" s="136"/>
      <c r="E69" s="136"/>
      <c r="F69" s="133"/>
      <c r="G69" s="147"/>
      <c r="H69" s="32" t="s">
        <v>234</v>
      </c>
      <c r="I69" s="3"/>
    </row>
    <row r="70" spans="1:9" ht="30" x14ac:dyDescent="0.25">
      <c r="A70" s="134"/>
      <c r="B70" s="46" t="s">
        <v>101</v>
      </c>
      <c r="C70" s="145"/>
      <c r="D70" s="136"/>
      <c r="E70" s="136"/>
      <c r="F70" s="133"/>
      <c r="G70" s="147"/>
      <c r="H70" s="32" t="s">
        <v>248</v>
      </c>
      <c r="I70" s="3"/>
    </row>
    <row r="71" spans="1:9" ht="30" x14ac:dyDescent="0.25">
      <c r="A71" s="134"/>
      <c r="B71" s="46" t="s">
        <v>102</v>
      </c>
      <c r="C71" s="145"/>
      <c r="D71" s="136"/>
      <c r="E71" s="136"/>
      <c r="F71" s="133"/>
      <c r="G71" s="147"/>
      <c r="H71" s="32" t="s">
        <v>248</v>
      </c>
      <c r="I71" s="3"/>
    </row>
    <row r="72" spans="1:9" hidden="1" x14ac:dyDescent="0.25">
      <c r="A72" s="134" t="s">
        <v>21</v>
      </c>
      <c r="B72" s="46" t="s">
        <v>22</v>
      </c>
      <c r="C72" s="46"/>
      <c r="D72" s="47"/>
      <c r="E72" s="46"/>
      <c r="F72" s="46"/>
      <c r="G72" s="48"/>
      <c r="H72" s="27"/>
      <c r="I72" s="3"/>
    </row>
    <row r="73" spans="1:9" hidden="1" x14ac:dyDescent="0.25">
      <c r="A73" s="134"/>
      <c r="B73" s="46" t="s">
        <v>23</v>
      </c>
      <c r="C73" s="46"/>
      <c r="D73" s="47"/>
      <c r="E73" s="46"/>
      <c r="F73" s="46"/>
      <c r="G73" s="48"/>
      <c r="H73" s="27"/>
      <c r="I73" s="3"/>
    </row>
    <row r="74" spans="1:9" hidden="1" x14ac:dyDescent="0.25">
      <c r="A74" s="134" t="s">
        <v>38</v>
      </c>
      <c r="B74" s="3" t="s">
        <v>39</v>
      </c>
      <c r="C74" s="3"/>
      <c r="D74" s="8"/>
      <c r="E74" s="3"/>
      <c r="F74" s="3"/>
      <c r="G74" s="32"/>
      <c r="H74" s="27"/>
      <c r="I74" s="3"/>
    </row>
    <row r="75" spans="1:9" hidden="1" x14ac:dyDescent="0.25">
      <c r="A75" s="134"/>
      <c r="B75" s="3" t="s">
        <v>21</v>
      </c>
      <c r="C75" s="3"/>
      <c r="D75" s="8"/>
      <c r="E75" s="3"/>
      <c r="F75" s="3"/>
      <c r="G75" s="32"/>
      <c r="H75" s="27"/>
      <c r="I75" s="3"/>
    </row>
    <row r="76" spans="1:9" ht="30" hidden="1" x14ac:dyDescent="0.25">
      <c r="A76" s="134"/>
      <c r="B76" s="3" t="s">
        <v>40</v>
      </c>
      <c r="C76" s="3"/>
      <c r="D76" s="8"/>
      <c r="E76" s="3"/>
      <c r="F76" s="3"/>
      <c r="G76" s="32"/>
      <c r="H76" s="27"/>
      <c r="I76" s="3"/>
    </row>
    <row r="77" spans="1:9" ht="45" hidden="1" x14ac:dyDescent="0.25">
      <c r="A77" s="134"/>
      <c r="B77" s="3" t="s">
        <v>48</v>
      </c>
      <c r="C77" s="3"/>
      <c r="D77" s="8"/>
      <c r="E77" s="3"/>
      <c r="F77" s="3"/>
      <c r="G77" s="32"/>
      <c r="H77" s="27"/>
      <c r="I77" s="3"/>
    </row>
    <row r="78" spans="1:9" ht="45" hidden="1" x14ac:dyDescent="0.25">
      <c r="A78" s="134"/>
      <c r="B78" s="3" t="s">
        <v>47</v>
      </c>
      <c r="C78" s="3"/>
      <c r="D78" s="8"/>
      <c r="E78" s="3"/>
      <c r="F78" s="3"/>
      <c r="G78" s="32"/>
      <c r="H78" s="27"/>
      <c r="I78" s="3"/>
    </row>
    <row r="79" spans="1:9" ht="45" hidden="1" x14ac:dyDescent="0.25">
      <c r="A79" s="134"/>
      <c r="B79" s="3" t="s">
        <v>46</v>
      </c>
      <c r="C79" s="3"/>
      <c r="D79" s="8"/>
      <c r="E79" s="3"/>
      <c r="F79" s="3"/>
      <c r="G79" s="32"/>
      <c r="H79" s="27"/>
      <c r="I79" s="3"/>
    </row>
    <row r="80" spans="1:9" ht="45" hidden="1" x14ac:dyDescent="0.25">
      <c r="A80" s="134"/>
      <c r="B80" s="3" t="s">
        <v>45</v>
      </c>
      <c r="C80" s="3"/>
      <c r="D80" s="8"/>
      <c r="E80" s="3"/>
      <c r="F80" s="3"/>
      <c r="G80" s="32"/>
      <c r="H80" s="27"/>
      <c r="I80" s="3"/>
    </row>
    <row r="81" spans="1:9" ht="45" hidden="1" x14ac:dyDescent="0.25">
      <c r="A81" s="134"/>
      <c r="B81" s="3" t="s">
        <v>44</v>
      </c>
      <c r="C81" s="3"/>
      <c r="D81" s="8"/>
      <c r="E81" s="3"/>
      <c r="F81" s="3"/>
      <c r="G81" s="32"/>
      <c r="H81" s="27"/>
      <c r="I81" s="3"/>
    </row>
    <row r="82" spans="1:9" ht="45" hidden="1" x14ac:dyDescent="0.25">
      <c r="A82" s="134"/>
      <c r="B82" s="3" t="s">
        <v>43</v>
      </c>
      <c r="C82" s="3"/>
      <c r="D82" s="8"/>
      <c r="E82" s="3"/>
      <c r="F82" s="3"/>
      <c r="G82" s="32"/>
      <c r="H82" s="27"/>
      <c r="I82" s="3"/>
    </row>
    <row r="83" spans="1:9" ht="60" hidden="1" x14ac:dyDescent="0.25">
      <c r="A83" s="134"/>
      <c r="B83" s="3" t="s">
        <v>42</v>
      </c>
      <c r="C83" s="3"/>
      <c r="D83" s="8"/>
      <c r="E83" s="3"/>
      <c r="F83" s="3"/>
      <c r="G83" s="32"/>
      <c r="H83" s="27"/>
      <c r="I83" s="3"/>
    </row>
    <row r="84" spans="1:9" ht="45" hidden="1" x14ac:dyDescent="0.25">
      <c r="A84" s="134"/>
      <c r="B84" s="3" t="s">
        <v>41</v>
      </c>
      <c r="C84" s="3"/>
      <c r="D84" s="8"/>
      <c r="E84" s="3"/>
      <c r="F84" s="3"/>
      <c r="G84" s="32"/>
      <c r="H84" s="27"/>
      <c r="I84" s="3"/>
    </row>
    <row r="85" spans="1:9" ht="19.5" hidden="1" x14ac:dyDescent="0.25">
      <c r="A85" s="143" t="s">
        <v>90</v>
      </c>
      <c r="B85" s="143"/>
      <c r="C85" s="143"/>
      <c r="D85" s="143"/>
      <c r="E85" s="143"/>
      <c r="F85" s="143"/>
      <c r="G85" s="143"/>
    </row>
    <row r="86" spans="1:9" ht="57" hidden="1" x14ac:dyDescent="0.25">
      <c r="A86" s="2" t="s">
        <v>61</v>
      </c>
      <c r="B86" s="2" t="s">
        <v>83</v>
      </c>
      <c r="C86" s="2" t="s">
        <v>71</v>
      </c>
      <c r="D86" s="2" t="s">
        <v>72</v>
      </c>
      <c r="E86" s="2" t="s">
        <v>84</v>
      </c>
      <c r="F86" s="2" t="s">
        <v>86</v>
      </c>
      <c r="G86" s="2" t="s">
        <v>106</v>
      </c>
      <c r="H86" s="2"/>
      <c r="I86" s="2" t="s">
        <v>107</v>
      </c>
    </row>
    <row r="87" spans="1:9" ht="45" hidden="1" x14ac:dyDescent="0.25">
      <c r="A87" s="27">
        <v>1</v>
      </c>
      <c r="B87" s="134" t="s">
        <v>80</v>
      </c>
      <c r="C87" s="3" t="s">
        <v>74</v>
      </c>
      <c r="D87" s="32">
        <v>43467</v>
      </c>
      <c r="E87" s="3" t="s">
        <v>73</v>
      </c>
      <c r="F87" s="3" t="s">
        <v>75</v>
      </c>
      <c r="G87" s="32" t="s">
        <v>112</v>
      </c>
      <c r="H87" s="32" t="s">
        <v>108</v>
      </c>
      <c r="I87" s="32" t="s">
        <v>134</v>
      </c>
    </row>
    <row r="88" spans="1:9" ht="60" hidden="1" x14ac:dyDescent="0.25">
      <c r="A88" s="27">
        <f>A87+1</f>
        <v>2</v>
      </c>
      <c r="B88" s="134"/>
      <c r="C88" s="3" t="s">
        <v>88</v>
      </c>
      <c r="D88" s="32">
        <v>43472</v>
      </c>
      <c r="E88" s="3" t="s">
        <v>89</v>
      </c>
      <c r="F88" s="3" t="s">
        <v>87</v>
      </c>
      <c r="G88" s="32" t="s">
        <v>112</v>
      </c>
      <c r="H88" s="32" t="s">
        <v>108</v>
      </c>
      <c r="I88" s="32" t="s">
        <v>135</v>
      </c>
    </row>
    <row r="89" spans="1:9" ht="162.75" hidden="1" customHeight="1" x14ac:dyDescent="0.25">
      <c r="A89" s="27">
        <f t="shared" ref="A89:A106" si="0">A88+1</f>
        <v>3</v>
      </c>
      <c r="B89" s="134" t="s">
        <v>150</v>
      </c>
      <c r="C89" s="50" t="s">
        <v>237</v>
      </c>
      <c r="D89" s="32"/>
      <c r="E89" s="3" t="s">
        <v>138</v>
      </c>
      <c r="F89" s="3" t="s">
        <v>137</v>
      </c>
      <c r="G89" s="32">
        <v>43473</v>
      </c>
      <c r="H89" s="49" t="s">
        <v>108</v>
      </c>
      <c r="I89" s="32"/>
    </row>
    <row r="90" spans="1:9" ht="108.75" hidden="1" customHeight="1" x14ac:dyDescent="0.25">
      <c r="A90" s="27">
        <f t="shared" si="0"/>
        <v>4</v>
      </c>
      <c r="B90" s="134"/>
      <c r="C90" s="4" t="s">
        <v>154</v>
      </c>
      <c r="D90" s="49"/>
      <c r="E90" s="3" t="s">
        <v>138</v>
      </c>
      <c r="F90" s="3" t="s">
        <v>137</v>
      </c>
      <c r="G90" s="32">
        <v>43474</v>
      </c>
      <c r="H90" s="49" t="s">
        <v>108</v>
      </c>
      <c r="I90" s="32"/>
    </row>
    <row r="91" spans="1:9" ht="120" hidden="1" x14ac:dyDescent="0.25">
      <c r="A91" s="27"/>
      <c r="B91" s="134"/>
      <c r="C91" s="4" t="s">
        <v>210</v>
      </c>
      <c r="D91" s="49"/>
      <c r="E91" s="3" t="s">
        <v>138</v>
      </c>
      <c r="F91" s="3" t="s">
        <v>137</v>
      </c>
      <c r="G91" s="32">
        <v>43479</v>
      </c>
      <c r="H91" s="49" t="s">
        <v>108</v>
      </c>
      <c r="I91" s="32"/>
    </row>
    <row r="92" spans="1:9" ht="30" hidden="1" x14ac:dyDescent="0.25">
      <c r="A92" s="27">
        <f>A90+1</f>
        <v>5</v>
      </c>
      <c r="B92" s="134"/>
      <c r="C92" s="4" t="s">
        <v>211</v>
      </c>
      <c r="D92" s="49"/>
      <c r="E92" s="3" t="s">
        <v>138</v>
      </c>
      <c r="F92" s="3" t="s">
        <v>137</v>
      </c>
      <c r="G92" s="32">
        <v>43479</v>
      </c>
      <c r="H92" s="32" t="s">
        <v>108</v>
      </c>
      <c r="I92" s="32"/>
    </row>
    <row r="93" spans="1:9" ht="30" hidden="1" x14ac:dyDescent="0.25">
      <c r="A93" s="27">
        <f t="shared" si="0"/>
        <v>6</v>
      </c>
      <c r="B93" s="134"/>
      <c r="C93" s="4" t="s">
        <v>178</v>
      </c>
      <c r="D93" s="49"/>
      <c r="E93" s="3" t="s">
        <v>137</v>
      </c>
      <c r="F93" s="3" t="s">
        <v>181</v>
      </c>
      <c r="G93" s="32">
        <v>43474</v>
      </c>
      <c r="H93" s="32" t="s">
        <v>247</v>
      </c>
      <c r="I93" s="32"/>
    </row>
    <row r="94" spans="1:9" hidden="1" x14ac:dyDescent="0.25">
      <c r="A94" s="27">
        <f t="shared" si="0"/>
        <v>7</v>
      </c>
      <c r="B94" s="134"/>
      <c r="C94" s="4" t="s">
        <v>179</v>
      </c>
      <c r="D94" s="49"/>
      <c r="E94" s="3" t="s">
        <v>138</v>
      </c>
      <c r="F94" s="3" t="s">
        <v>137</v>
      </c>
      <c r="G94" s="32">
        <v>43474</v>
      </c>
      <c r="H94" s="32" t="s">
        <v>108</v>
      </c>
      <c r="I94" s="32"/>
    </row>
    <row r="95" spans="1:9" hidden="1" x14ac:dyDescent="0.25">
      <c r="A95" s="27">
        <f t="shared" si="0"/>
        <v>8</v>
      </c>
      <c r="B95" s="134"/>
      <c r="C95" s="4" t="s">
        <v>180</v>
      </c>
      <c r="D95" s="49"/>
      <c r="E95" s="3" t="s">
        <v>163</v>
      </c>
      <c r="F95" s="3" t="s">
        <v>137</v>
      </c>
      <c r="G95" s="32">
        <v>43474</v>
      </c>
      <c r="H95" s="32" t="s">
        <v>247</v>
      </c>
      <c r="I95" s="32" t="s">
        <v>208</v>
      </c>
    </row>
    <row r="96" spans="1:9" ht="30" hidden="1" x14ac:dyDescent="0.25">
      <c r="A96" s="27"/>
      <c r="B96" s="134"/>
      <c r="C96" s="4" t="s">
        <v>213</v>
      </c>
      <c r="D96" s="49"/>
      <c r="E96" s="3"/>
      <c r="F96" s="3"/>
      <c r="G96" s="32"/>
      <c r="H96" s="32" t="s">
        <v>247</v>
      </c>
      <c r="I96" s="32"/>
    </row>
    <row r="97" spans="1:9" ht="60" hidden="1" x14ac:dyDescent="0.25">
      <c r="A97" s="27"/>
      <c r="B97" s="134"/>
      <c r="C97" s="4" t="s">
        <v>214</v>
      </c>
      <c r="D97" s="49"/>
      <c r="E97" s="3"/>
      <c r="F97" s="3"/>
      <c r="G97" s="32"/>
      <c r="H97" s="32" t="s">
        <v>108</v>
      </c>
      <c r="I97" s="32"/>
    </row>
    <row r="98" spans="1:9" ht="30" hidden="1" x14ac:dyDescent="0.25">
      <c r="A98" s="27">
        <f>A95+1</f>
        <v>9</v>
      </c>
      <c r="B98" s="134"/>
      <c r="C98" s="4" t="s">
        <v>151</v>
      </c>
      <c r="D98" s="49">
        <v>43475</v>
      </c>
      <c r="E98" s="3" t="s">
        <v>137</v>
      </c>
      <c r="F98" s="3" t="s">
        <v>138</v>
      </c>
      <c r="G98" s="32">
        <v>43473</v>
      </c>
      <c r="H98" s="32" t="s">
        <v>108</v>
      </c>
      <c r="I98" s="32"/>
    </row>
    <row r="99" spans="1:9" ht="75" hidden="1" x14ac:dyDescent="0.25">
      <c r="A99" s="27">
        <f>A98+1</f>
        <v>10</v>
      </c>
      <c r="B99" s="134"/>
      <c r="C99" s="4" t="s">
        <v>219</v>
      </c>
      <c r="D99" s="49">
        <v>43476</v>
      </c>
      <c r="E99" s="3" t="s">
        <v>138</v>
      </c>
      <c r="F99" s="3" t="s">
        <v>137</v>
      </c>
      <c r="G99" s="32">
        <v>43473</v>
      </c>
      <c r="H99" s="32" t="s">
        <v>247</v>
      </c>
      <c r="I99" s="32"/>
    </row>
    <row r="100" spans="1:9" hidden="1" x14ac:dyDescent="0.25">
      <c r="A100" s="27"/>
      <c r="B100" s="27"/>
      <c r="C100" s="4" t="s">
        <v>220</v>
      </c>
      <c r="D100" s="49"/>
      <c r="E100" s="3"/>
      <c r="F100" s="3"/>
      <c r="G100" s="32">
        <v>43479</v>
      </c>
      <c r="H100" s="32"/>
      <c r="I100" s="32"/>
    </row>
    <row r="101" spans="1:9" ht="90" hidden="1" x14ac:dyDescent="0.25">
      <c r="A101" s="27"/>
      <c r="B101" s="27"/>
      <c r="C101" s="4" t="s">
        <v>224</v>
      </c>
      <c r="D101" s="49"/>
      <c r="E101" s="3"/>
      <c r="F101" s="3"/>
      <c r="G101" s="32"/>
      <c r="H101" s="32"/>
      <c r="I101" s="32"/>
    </row>
    <row r="102" spans="1:9" ht="75" x14ac:dyDescent="0.25">
      <c r="A102" s="27">
        <f>A99+1</f>
        <v>11</v>
      </c>
      <c r="B102" s="134" t="s">
        <v>76</v>
      </c>
      <c r="C102" s="3" t="s">
        <v>164</v>
      </c>
      <c r="D102" s="32">
        <v>43476</v>
      </c>
      <c r="E102" s="3" t="s">
        <v>78</v>
      </c>
      <c r="F102" s="3" t="s">
        <v>165</v>
      </c>
      <c r="G102" s="32">
        <v>43474</v>
      </c>
      <c r="H102" s="54" t="s">
        <v>239</v>
      </c>
      <c r="I102" s="32" t="s">
        <v>193</v>
      </c>
    </row>
    <row r="103" spans="1:9" ht="45" x14ac:dyDescent="0.25">
      <c r="A103" s="27">
        <f t="shared" si="0"/>
        <v>12</v>
      </c>
      <c r="B103" s="134"/>
      <c r="C103" s="3" t="s">
        <v>77</v>
      </c>
      <c r="D103" s="32">
        <v>43479</v>
      </c>
      <c r="E103" s="3" t="s">
        <v>73</v>
      </c>
      <c r="F103" s="3" t="s">
        <v>87</v>
      </c>
      <c r="G103" s="32" t="s">
        <v>112</v>
      </c>
      <c r="H103" s="54" t="s">
        <v>238</v>
      </c>
      <c r="I103" s="32" t="s">
        <v>209</v>
      </c>
    </row>
    <row r="104" spans="1:9" ht="45" x14ac:dyDescent="0.25">
      <c r="A104" s="27">
        <f t="shared" si="0"/>
        <v>13</v>
      </c>
      <c r="B104" s="134"/>
      <c r="C104" s="3" t="s">
        <v>79</v>
      </c>
      <c r="D104" s="32">
        <v>43480</v>
      </c>
      <c r="E104" s="3" t="s">
        <v>78</v>
      </c>
      <c r="F104" s="3" t="s">
        <v>87</v>
      </c>
      <c r="G104" s="32" t="s">
        <v>112</v>
      </c>
      <c r="H104" s="32" t="s">
        <v>249</v>
      </c>
      <c r="I104" s="32"/>
    </row>
    <row r="105" spans="1:9" ht="45" x14ac:dyDescent="0.25">
      <c r="A105" s="27">
        <f t="shared" si="0"/>
        <v>14</v>
      </c>
      <c r="B105" s="134"/>
      <c r="C105" s="3" t="s">
        <v>76</v>
      </c>
      <c r="D105" s="32">
        <v>43480</v>
      </c>
      <c r="E105" s="3" t="s">
        <v>78</v>
      </c>
      <c r="F105" s="3" t="s">
        <v>87</v>
      </c>
      <c r="G105" s="32" t="s">
        <v>112</v>
      </c>
      <c r="H105" s="32" t="s">
        <v>249</v>
      </c>
      <c r="I105" s="32"/>
    </row>
    <row r="106" spans="1:9" ht="60" hidden="1" x14ac:dyDescent="0.25">
      <c r="A106" s="27">
        <f t="shared" si="0"/>
        <v>15</v>
      </c>
      <c r="B106" s="3" t="s">
        <v>82</v>
      </c>
      <c r="C106" s="3" t="s">
        <v>82</v>
      </c>
      <c r="D106" s="32">
        <v>43480</v>
      </c>
      <c r="E106" s="3" t="s">
        <v>81</v>
      </c>
      <c r="F106" s="3" t="s">
        <v>87</v>
      </c>
      <c r="G106" s="32" t="s">
        <v>112</v>
      </c>
      <c r="H106" s="32" t="s">
        <v>108</v>
      </c>
      <c r="I106" s="32"/>
    </row>
  </sheetData>
  <autoFilter ref="A3:I106">
    <filterColumn colId="7">
      <filters>
        <filter val="ATT chưa gửi"/>
        <filter val="ATT đã gửi mẫu, chuẩn bị cho giai đoạn 2"/>
        <filter val="ATT thực hiện"/>
        <filter val="Chờ ATT confirm"/>
        <filter val="Chờ ATT gửi biểu mẫu"/>
        <filter val="Dừng. Chuyển sang ATT nhập trực tiếp"/>
        <filter val="Không hoàn thành. Dừng. Chuyển sang ATT nhập trực tiếp"/>
      </filters>
    </filterColumn>
  </autoFilter>
  <mergeCells count="35">
    <mergeCell ref="I50:I51"/>
    <mergeCell ref="B53:B54"/>
    <mergeCell ref="B102:B105"/>
    <mergeCell ref="A68:A71"/>
    <mergeCell ref="C68:C71"/>
    <mergeCell ref="D68:D71"/>
    <mergeCell ref="E68:E71"/>
    <mergeCell ref="A72:A73"/>
    <mergeCell ref="A74:A84"/>
    <mergeCell ref="A85:G85"/>
    <mergeCell ref="B87:B88"/>
    <mergeCell ref="B89:B99"/>
    <mergeCell ref="F68:F71"/>
    <mergeCell ref="G68:G71"/>
    <mergeCell ref="A56:A67"/>
    <mergeCell ref="B59:B60"/>
    <mergeCell ref="B62:B67"/>
    <mergeCell ref="G62:G63"/>
    <mergeCell ref="A14:A21"/>
    <mergeCell ref="A22:A28"/>
    <mergeCell ref="B22:B23"/>
    <mergeCell ref="B26:B28"/>
    <mergeCell ref="A30:A41"/>
    <mergeCell ref="B34:B35"/>
    <mergeCell ref="B36:B37"/>
    <mergeCell ref="B40:B41"/>
    <mergeCell ref="A42:A49"/>
    <mergeCell ref="B42:B49"/>
    <mergeCell ref="A50:A55"/>
    <mergeCell ref="A1:G1"/>
    <mergeCell ref="A2:G2"/>
    <mergeCell ref="A4:A8"/>
    <mergeCell ref="B5:B6"/>
    <mergeCell ref="A10:A13"/>
    <mergeCell ref="B10:B11"/>
  </mergeCells>
  <hyperlinks>
    <hyperlink ref="A2" r:id="rId1"/>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92D050"/>
  </sheetPr>
  <dimension ref="A1:I106"/>
  <sheetViews>
    <sheetView zoomScaleNormal="100" workbookViewId="0">
      <pane xSplit="2" ySplit="3" topLeftCell="C40" activePane="bottomRight" state="frozen"/>
      <selection activeCell="A2" sqref="A2:G2"/>
      <selection pane="topRight" activeCell="A2" sqref="A2:G2"/>
      <selection pane="bottomLeft" activeCell="A2" sqref="A2:G2"/>
      <selection pane="bottomRight" activeCell="H47" sqref="H47"/>
    </sheetView>
  </sheetViews>
  <sheetFormatPr defaultColWidth="8.85546875" defaultRowHeight="15" x14ac:dyDescent="0.25"/>
  <cols>
    <col min="1" max="1" width="13.85546875" style="5" customWidth="1"/>
    <col min="2" max="2" width="13.42578125" style="5" customWidth="1"/>
    <col min="3" max="3" width="85.85546875" style="5" customWidth="1"/>
    <col min="4" max="4" width="12.28515625" style="5" customWidth="1"/>
    <col min="5" max="5" width="8" style="5" customWidth="1"/>
    <col min="6" max="6" width="9.28515625" style="5" customWidth="1"/>
    <col min="7" max="7" width="10.140625" style="10" customWidth="1"/>
    <col min="8" max="8" width="28.42578125" style="10" customWidth="1"/>
    <col min="9" max="9" width="47" style="5" customWidth="1"/>
    <col min="10" max="16384" width="8.85546875" style="5"/>
  </cols>
  <sheetData>
    <row r="1" spans="1:9" ht="19.5" x14ac:dyDescent="0.25">
      <c r="A1" s="148" t="s">
        <v>49</v>
      </c>
      <c r="B1" s="148"/>
      <c r="C1" s="148"/>
      <c r="D1" s="148"/>
      <c r="E1" s="148"/>
      <c r="F1" s="148"/>
      <c r="G1" s="148"/>
      <c r="H1" s="23"/>
    </row>
    <row r="2" spans="1:9" ht="15.75" x14ac:dyDescent="0.25">
      <c r="A2" s="149" t="s">
        <v>98</v>
      </c>
      <c r="B2" s="150"/>
      <c r="C2" s="150"/>
      <c r="D2" s="150"/>
      <c r="E2" s="150"/>
      <c r="F2" s="150"/>
      <c r="G2" s="150"/>
    </row>
    <row r="3" spans="1:9" ht="27" customHeight="1" x14ac:dyDescent="0.25">
      <c r="A3" s="2" t="s">
        <v>0</v>
      </c>
      <c r="B3" s="2" t="s">
        <v>123</v>
      </c>
      <c r="C3" s="7" t="s">
        <v>83</v>
      </c>
      <c r="D3" s="2" t="s">
        <v>72</v>
      </c>
      <c r="E3" s="2" t="s">
        <v>84</v>
      </c>
      <c r="F3" s="2" t="s">
        <v>120</v>
      </c>
      <c r="G3" s="2" t="s">
        <v>115</v>
      </c>
      <c r="H3" s="2" t="s">
        <v>185</v>
      </c>
      <c r="I3" s="2" t="s">
        <v>116</v>
      </c>
    </row>
    <row r="4" spans="1:9" ht="30" hidden="1" x14ac:dyDescent="0.25">
      <c r="A4" s="134" t="s">
        <v>1</v>
      </c>
      <c r="B4" s="3" t="s">
        <v>2</v>
      </c>
      <c r="C4" s="3"/>
      <c r="D4" s="3"/>
      <c r="E4" s="3"/>
      <c r="F4" s="3"/>
      <c r="G4" s="32"/>
      <c r="H4" s="32"/>
      <c r="I4" s="32"/>
    </row>
    <row r="5" spans="1:9" ht="30" hidden="1" x14ac:dyDescent="0.25">
      <c r="A5" s="134"/>
      <c r="B5" s="134" t="s">
        <v>33</v>
      </c>
      <c r="C5" s="50" t="s">
        <v>197</v>
      </c>
      <c r="D5" s="3"/>
      <c r="E5" s="3"/>
      <c r="F5" s="3"/>
      <c r="G5" s="32">
        <v>43481</v>
      </c>
      <c r="H5" s="32" t="s">
        <v>108</v>
      </c>
      <c r="I5" s="32"/>
    </row>
    <row r="6" spans="1:9" hidden="1" x14ac:dyDescent="0.25">
      <c r="A6" s="134"/>
      <c r="B6" s="134"/>
      <c r="C6" s="50" t="s">
        <v>202</v>
      </c>
      <c r="D6" s="3"/>
      <c r="E6" s="3" t="s">
        <v>138</v>
      </c>
      <c r="F6" s="3" t="s">
        <v>137</v>
      </c>
      <c r="G6" s="32"/>
      <c r="H6" s="32" t="s">
        <v>245</v>
      </c>
      <c r="I6" s="32"/>
    </row>
    <row r="7" spans="1:9" hidden="1" x14ac:dyDescent="0.25">
      <c r="A7" s="134"/>
      <c r="B7" s="27"/>
      <c r="C7" s="50" t="s">
        <v>243</v>
      </c>
      <c r="D7" s="3"/>
      <c r="E7" s="3" t="s">
        <v>138</v>
      </c>
      <c r="F7" s="3" t="s">
        <v>137</v>
      </c>
      <c r="G7" s="32"/>
      <c r="H7" s="32" t="s">
        <v>245</v>
      </c>
      <c r="I7" s="32"/>
    </row>
    <row r="8" spans="1:9" ht="45" hidden="1" x14ac:dyDescent="0.25">
      <c r="A8" s="134"/>
      <c r="B8" s="3" t="s">
        <v>34</v>
      </c>
      <c r="C8" s="3"/>
      <c r="D8" s="3"/>
      <c r="E8" s="3"/>
      <c r="F8" s="3"/>
      <c r="G8" s="32"/>
      <c r="H8" s="32" t="s">
        <v>108</v>
      </c>
      <c r="I8" s="32"/>
    </row>
    <row r="9" spans="1:9" ht="30" hidden="1" x14ac:dyDescent="0.25">
      <c r="A9" s="27" t="s">
        <v>147</v>
      </c>
      <c r="B9" s="3"/>
      <c r="C9" s="4" t="s">
        <v>148</v>
      </c>
      <c r="D9" s="3"/>
      <c r="E9" s="3" t="s">
        <v>137</v>
      </c>
      <c r="F9" s="3" t="s">
        <v>138</v>
      </c>
      <c r="G9" s="32">
        <v>43473</v>
      </c>
      <c r="H9" s="32" t="s">
        <v>108</v>
      </c>
      <c r="I9" s="32"/>
    </row>
    <row r="10" spans="1:9" ht="99.75" hidden="1" customHeight="1" x14ac:dyDescent="0.25">
      <c r="A10" s="134" t="s">
        <v>51</v>
      </c>
      <c r="B10" s="134" t="s">
        <v>53</v>
      </c>
      <c r="C10" s="3" t="s">
        <v>162</v>
      </c>
      <c r="D10" s="3"/>
      <c r="E10" s="3" t="s">
        <v>137</v>
      </c>
      <c r="F10" s="3" t="s">
        <v>163</v>
      </c>
      <c r="G10" s="32">
        <v>43474</v>
      </c>
      <c r="H10" s="32" t="s">
        <v>108</v>
      </c>
      <c r="I10" s="32"/>
    </row>
    <row r="11" spans="1:9" ht="30" hidden="1" x14ac:dyDescent="0.25">
      <c r="A11" s="134"/>
      <c r="B11" s="134"/>
      <c r="C11" s="28" t="s">
        <v>199</v>
      </c>
      <c r="D11" s="3"/>
      <c r="E11" s="3"/>
      <c r="F11" s="3"/>
      <c r="G11" s="32">
        <v>43481</v>
      </c>
      <c r="H11" s="32" t="s">
        <v>108</v>
      </c>
      <c r="I11" s="32"/>
    </row>
    <row r="12" spans="1:9" ht="89.25" customHeight="1" x14ac:dyDescent="0.25">
      <c r="A12" s="134"/>
      <c r="B12" s="3" t="s">
        <v>3</v>
      </c>
      <c r="C12" s="55" t="s">
        <v>232</v>
      </c>
      <c r="D12" s="57" t="s">
        <v>250</v>
      </c>
      <c r="E12" s="3" t="s">
        <v>181</v>
      </c>
      <c r="F12" s="3" t="s">
        <v>137</v>
      </c>
      <c r="G12" s="32"/>
      <c r="H12" s="41" t="s">
        <v>252</v>
      </c>
      <c r="I12" s="32"/>
    </row>
    <row r="13" spans="1:9" hidden="1" x14ac:dyDescent="0.25">
      <c r="A13" s="134"/>
      <c r="B13" s="3" t="s">
        <v>30</v>
      </c>
      <c r="C13" s="29"/>
      <c r="D13" s="32"/>
      <c r="E13" s="3"/>
      <c r="F13" s="3"/>
      <c r="G13" s="32"/>
      <c r="H13" s="32"/>
      <c r="I13" s="32"/>
    </row>
    <row r="14" spans="1:9" hidden="1" x14ac:dyDescent="0.25">
      <c r="A14" s="134" t="s">
        <v>5</v>
      </c>
      <c r="B14" s="51" t="s">
        <v>6</v>
      </c>
      <c r="C14" s="3" t="s">
        <v>235</v>
      </c>
      <c r="D14" s="3"/>
      <c r="E14" s="3"/>
      <c r="F14" s="3"/>
      <c r="G14" s="32"/>
      <c r="H14" s="32" t="s">
        <v>108</v>
      </c>
      <c r="I14" s="32"/>
    </row>
    <row r="15" spans="1:9" hidden="1" x14ac:dyDescent="0.25">
      <c r="A15" s="134"/>
      <c r="B15" s="51" t="s">
        <v>7</v>
      </c>
      <c r="C15" s="3" t="s">
        <v>235</v>
      </c>
      <c r="D15" s="3"/>
      <c r="E15" s="3"/>
      <c r="F15" s="3"/>
      <c r="G15" s="32"/>
      <c r="H15" s="32" t="s">
        <v>108</v>
      </c>
      <c r="I15" s="32"/>
    </row>
    <row r="16" spans="1:9" hidden="1" x14ac:dyDescent="0.25">
      <c r="A16" s="134"/>
      <c r="B16" s="51" t="s">
        <v>8</v>
      </c>
      <c r="C16" s="3"/>
      <c r="D16" s="3"/>
      <c r="E16" s="3"/>
      <c r="F16" s="3"/>
      <c r="G16" s="32"/>
      <c r="H16" s="32"/>
      <c r="I16" s="32"/>
    </row>
    <row r="17" spans="1:9" hidden="1" x14ac:dyDescent="0.25">
      <c r="A17" s="134"/>
      <c r="B17" s="51" t="s">
        <v>9</v>
      </c>
      <c r="C17" s="3" t="s">
        <v>235</v>
      </c>
      <c r="D17" s="3"/>
      <c r="E17" s="3"/>
      <c r="F17" s="3"/>
      <c r="G17" s="32"/>
      <c r="H17" s="32" t="s">
        <v>108</v>
      </c>
      <c r="I17" s="32"/>
    </row>
    <row r="18" spans="1:9" hidden="1" x14ac:dyDescent="0.25">
      <c r="A18" s="134"/>
      <c r="B18" s="51" t="s">
        <v>10</v>
      </c>
      <c r="C18" s="3"/>
      <c r="D18" s="3"/>
      <c r="E18" s="3"/>
      <c r="F18" s="3"/>
      <c r="G18" s="32"/>
      <c r="H18" s="32"/>
      <c r="I18" s="32"/>
    </row>
    <row r="19" spans="1:9" hidden="1" x14ac:dyDescent="0.25">
      <c r="A19" s="134"/>
      <c r="B19" s="51" t="s">
        <v>11</v>
      </c>
      <c r="C19" s="3" t="s">
        <v>235</v>
      </c>
      <c r="D19" s="3"/>
      <c r="E19" s="3"/>
      <c r="F19" s="3"/>
      <c r="G19" s="32"/>
      <c r="H19" s="32" t="s">
        <v>108</v>
      </c>
      <c r="I19" s="32"/>
    </row>
    <row r="20" spans="1:9" ht="30" hidden="1" x14ac:dyDescent="0.25">
      <c r="A20" s="134"/>
      <c r="B20" s="3" t="s">
        <v>35</v>
      </c>
      <c r="C20" s="3"/>
      <c r="D20" s="3"/>
      <c r="E20" s="3"/>
      <c r="F20" s="3"/>
      <c r="G20" s="32"/>
      <c r="H20" s="32"/>
      <c r="I20" s="32"/>
    </row>
    <row r="21" spans="1:9" ht="45" hidden="1" x14ac:dyDescent="0.25">
      <c r="A21" s="134"/>
      <c r="B21" s="3" t="s">
        <v>36</v>
      </c>
      <c r="C21" s="3"/>
      <c r="D21" s="3"/>
      <c r="E21" s="3"/>
      <c r="F21" s="3"/>
      <c r="G21" s="32"/>
      <c r="H21" s="32"/>
      <c r="I21" s="32"/>
    </row>
    <row r="22" spans="1:9" ht="90" hidden="1" x14ac:dyDescent="0.25">
      <c r="A22" s="134" t="s">
        <v>12</v>
      </c>
      <c r="B22" s="151" t="s">
        <v>136</v>
      </c>
      <c r="C22" s="4" t="s">
        <v>145</v>
      </c>
      <c r="D22" s="3"/>
      <c r="E22" s="3" t="s">
        <v>137</v>
      </c>
      <c r="F22" s="3" t="s">
        <v>138</v>
      </c>
      <c r="G22" s="32">
        <v>43473</v>
      </c>
      <c r="H22" s="32" t="s">
        <v>108</v>
      </c>
      <c r="I22" s="32"/>
    </row>
    <row r="23" spans="1:9" hidden="1" x14ac:dyDescent="0.25">
      <c r="A23" s="134"/>
      <c r="B23" s="151"/>
      <c r="C23" s="3" t="s">
        <v>139</v>
      </c>
      <c r="D23" s="3"/>
      <c r="E23" s="3" t="s">
        <v>138</v>
      </c>
      <c r="F23" s="3" t="s">
        <v>137</v>
      </c>
      <c r="G23" s="32">
        <v>43473</v>
      </c>
      <c r="H23" s="32" t="s">
        <v>246</v>
      </c>
      <c r="I23" s="32"/>
    </row>
    <row r="24" spans="1:9" hidden="1" x14ac:dyDescent="0.25">
      <c r="A24" s="134"/>
      <c r="B24" s="3" t="s">
        <v>140</v>
      </c>
      <c r="C24" s="28" t="s">
        <v>198</v>
      </c>
      <c r="D24" s="3"/>
      <c r="E24" s="3"/>
      <c r="F24" s="3"/>
      <c r="G24" s="32">
        <v>43481</v>
      </c>
      <c r="H24" s="32" t="s">
        <v>108</v>
      </c>
      <c r="I24" s="32"/>
    </row>
    <row r="25" spans="1:9" hidden="1" x14ac:dyDescent="0.25">
      <c r="A25" s="134"/>
      <c r="B25" s="3" t="s">
        <v>141</v>
      </c>
      <c r="C25" s="3"/>
      <c r="D25" s="3"/>
      <c r="E25" s="3"/>
      <c r="F25" s="3"/>
      <c r="G25" s="32"/>
      <c r="H25" s="32"/>
      <c r="I25" s="32"/>
    </row>
    <row r="26" spans="1:9" hidden="1" x14ac:dyDescent="0.25">
      <c r="A26" s="134"/>
      <c r="B26" s="152" t="s">
        <v>142</v>
      </c>
      <c r="C26" s="3"/>
      <c r="D26" s="3"/>
      <c r="E26" s="3"/>
      <c r="F26" s="3"/>
      <c r="G26" s="32"/>
      <c r="H26" s="32"/>
      <c r="I26" s="32"/>
    </row>
    <row r="27" spans="1:9" ht="30" hidden="1" x14ac:dyDescent="0.25">
      <c r="A27" s="134"/>
      <c r="B27" s="152"/>
      <c r="C27" s="3" t="s">
        <v>149</v>
      </c>
      <c r="D27" s="51"/>
      <c r="E27" s="3" t="s">
        <v>137</v>
      </c>
      <c r="F27" s="3" t="s">
        <v>138</v>
      </c>
      <c r="G27" s="32">
        <v>43473</v>
      </c>
      <c r="H27" s="32" t="s">
        <v>108</v>
      </c>
      <c r="I27" s="32"/>
    </row>
    <row r="28" spans="1:9" ht="30" hidden="1" x14ac:dyDescent="0.25">
      <c r="A28" s="134"/>
      <c r="B28" s="152"/>
      <c r="C28" s="3" t="s">
        <v>146</v>
      </c>
      <c r="D28" s="51"/>
      <c r="E28" s="3" t="s">
        <v>137</v>
      </c>
      <c r="F28" s="3" t="s">
        <v>138</v>
      </c>
      <c r="G28" s="32">
        <v>43473</v>
      </c>
      <c r="H28" s="32" t="s">
        <v>108</v>
      </c>
      <c r="I28" s="32"/>
    </row>
    <row r="29" spans="1:9" hidden="1" x14ac:dyDescent="0.25">
      <c r="A29" s="27" t="s">
        <v>13</v>
      </c>
      <c r="B29" s="3" t="s">
        <v>37</v>
      </c>
      <c r="C29" s="3"/>
      <c r="D29" s="51"/>
      <c r="E29" s="3"/>
      <c r="F29" s="3"/>
      <c r="G29" s="32"/>
      <c r="H29" s="32"/>
      <c r="I29" s="32"/>
    </row>
    <row r="30" spans="1:9" ht="45" hidden="1" x14ac:dyDescent="0.25">
      <c r="A30" s="134" t="s">
        <v>14</v>
      </c>
      <c r="B30" s="3" t="s">
        <v>191</v>
      </c>
      <c r="C30" s="50" t="s">
        <v>195</v>
      </c>
      <c r="D30" s="51"/>
      <c r="E30" s="3" t="s">
        <v>137</v>
      </c>
      <c r="F30" s="3" t="s">
        <v>138</v>
      </c>
      <c r="G30" s="32">
        <v>43473</v>
      </c>
      <c r="H30" s="32" t="s">
        <v>108</v>
      </c>
      <c r="I30" s="32"/>
    </row>
    <row r="31" spans="1:9" ht="75" hidden="1" x14ac:dyDescent="0.25">
      <c r="A31" s="134"/>
      <c r="B31" s="3" t="s">
        <v>4</v>
      </c>
      <c r="C31" s="3" t="s">
        <v>92</v>
      </c>
      <c r="D31" s="32">
        <v>43480</v>
      </c>
      <c r="E31" s="3" t="s">
        <v>137</v>
      </c>
      <c r="F31" s="3" t="s">
        <v>138</v>
      </c>
      <c r="G31" s="32" t="s">
        <v>111</v>
      </c>
      <c r="H31" s="32" t="s">
        <v>247</v>
      </c>
      <c r="I31" s="32"/>
    </row>
    <row r="32" spans="1:9" ht="30" hidden="1" x14ac:dyDescent="0.25">
      <c r="A32" s="134"/>
      <c r="B32" s="3" t="s">
        <v>24</v>
      </c>
      <c r="C32" s="3"/>
      <c r="D32" s="8"/>
      <c r="E32" s="3"/>
      <c r="F32" s="3"/>
      <c r="G32" s="32"/>
      <c r="H32" s="32"/>
      <c r="I32" s="32"/>
    </row>
    <row r="33" spans="1:9" ht="45" hidden="1" x14ac:dyDescent="0.25">
      <c r="A33" s="134"/>
      <c r="B33" s="3" t="s">
        <v>25</v>
      </c>
      <c r="C33" s="50" t="s">
        <v>200</v>
      </c>
      <c r="D33" s="8"/>
      <c r="E33" s="3"/>
      <c r="F33" s="3"/>
      <c r="G33" s="32">
        <v>43479</v>
      </c>
      <c r="H33" s="32" t="s">
        <v>108</v>
      </c>
      <c r="I33" s="32"/>
    </row>
    <row r="34" spans="1:9" ht="30" hidden="1" x14ac:dyDescent="0.25">
      <c r="A34" s="134"/>
      <c r="B34" s="134" t="s">
        <v>26</v>
      </c>
      <c r="C34" s="4" t="s">
        <v>182</v>
      </c>
      <c r="D34" s="52"/>
      <c r="E34" s="3" t="s">
        <v>183</v>
      </c>
      <c r="F34" s="3" t="s">
        <v>137</v>
      </c>
      <c r="G34" s="32">
        <v>43474</v>
      </c>
      <c r="H34" s="32" t="s">
        <v>108</v>
      </c>
      <c r="I34" s="32"/>
    </row>
    <row r="35" spans="1:9" ht="30" hidden="1" x14ac:dyDescent="0.25">
      <c r="A35" s="134"/>
      <c r="B35" s="134"/>
      <c r="C35" s="4" t="s">
        <v>186</v>
      </c>
      <c r="D35" s="52"/>
      <c r="E35" s="3" t="s">
        <v>137</v>
      </c>
      <c r="F35" s="3" t="s">
        <v>183</v>
      </c>
      <c r="G35" s="32">
        <v>43474</v>
      </c>
      <c r="H35" s="32" t="s">
        <v>108</v>
      </c>
      <c r="I35" s="32"/>
    </row>
    <row r="36" spans="1:9" ht="90" hidden="1" x14ac:dyDescent="0.25">
      <c r="A36" s="134"/>
      <c r="B36" s="134" t="s">
        <v>27</v>
      </c>
      <c r="C36" s="4" t="s">
        <v>187</v>
      </c>
      <c r="D36" s="52"/>
      <c r="E36" s="3" t="s">
        <v>163</v>
      </c>
      <c r="F36" s="3" t="s">
        <v>137</v>
      </c>
      <c r="G36" s="32">
        <v>43474</v>
      </c>
      <c r="H36" s="32" t="s">
        <v>108</v>
      </c>
      <c r="I36" s="3"/>
    </row>
    <row r="37" spans="1:9" ht="30" hidden="1" x14ac:dyDescent="0.25">
      <c r="A37" s="134"/>
      <c r="B37" s="134"/>
      <c r="C37" s="4" t="s">
        <v>188</v>
      </c>
      <c r="D37" s="52"/>
      <c r="E37" s="3" t="s">
        <v>137</v>
      </c>
      <c r="F37" s="3" t="s">
        <v>163</v>
      </c>
      <c r="G37" s="32">
        <v>43474</v>
      </c>
      <c r="H37" s="32" t="s">
        <v>108</v>
      </c>
      <c r="I37" s="3"/>
    </row>
    <row r="38" spans="1:9" ht="30" hidden="1" x14ac:dyDescent="0.25">
      <c r="A38" s="134"/>
      <c r="B38" s="3" t="s">
        <v>50</v>
      </c>
      <c r="C38" s="3"/>
      <c r="D38" s="8"/>
      <c r="E38" s="3"/>
      <c r="F38" s="3"/>
      <c r="G38" s="32"/>
      <c r="H38" s="32"/>
      <c r="I38" s="32"/>
    </row>
    <row r="39" spans="1:9" ht="30" hidden="1" x14ac:dyDescent="0.25">
      <c r="A39" s="134"/>
      <c r="B39" s="3" t="s">
        <v>28</v>
      </c>
      <c r="C39" s="3"/>
      <c r="D39" s="8"/>
      <c r="E39" s="3"/>
      <c r="F39" s="3"/>
      <c r="G39" s="32"/>
      <c r="H39" s="32"/>
      <c r="I39" s="32"/>
    </row>
    <row r="40" spans="1:9" ht="98.25" customHeight="1" x14ac:dyDescent="0.25">
      <c r="A40" s="134"/>
      <c r="B40" s="134" t="s">
        <v>160</v>
      </c>
      <c r="C40" s="55" t="s">
        <v>251</v>
      </c>
      <c r="D40" s="57" t="s">
        <v>250</v>
      </c>
      <c r="E40" s="3" t="s">
        <v>181</v>
      </c>
      <c r="F40" s="3" t="s">
        <v>137</v>
      </c>
      <c r="G40" s="32">
        <v>43481</v>
      </c>
      <c r="H40" s="41" t="s">
        <v>252</v>
      </c>
      <c r="I40" s="49" t="s">
        <v>203</v>
      </c>
    </row>
    <row r="41" spans="1:9" ht="210" hidden="1" x14ac:dyDescent="0.25">
      <c r="A41" s="134"/>
      <c r="B41" s="134"/>
      <c r="C41" s="55" t="s">
        <v>161</v>
      </c>
      <c r="D41" s="52"/>
      <c r="E41" s="3" t="s">
        <v>137</v>
      </c>
      <c r="F41" s="3" t="s">
        <v>138</v>
      </c>
      <c r="G41" s="32">
        <v>43474</v>
      </c>
      <c r="H41" s="32" t="s">
        <v>247</v>
      </c>
      <c r="I41" s="3" t="s">
        <v>114</v>
      </c>
    </row>
    <row r="42" spans="1:9" ht="135" hidden="1" x14ac:dyDescent="0.25">
      <c r="A42" s="134" t="s">
        <v>29</v>
      </c>
      <c r="B42" s="134" t="s">
        <v>29</v>
      </c>
      <c r="C42" s="29" t="s">
        <v>117</v>
      </c>
      <c r="D42" s="8">
        <v>43480</v>
      </c>
      <c r="E42" s="3" t="s">
        <v>137</v>
      </c>
      <c r="F42" s="3" t="s">
        <v>118</v>
      </c>
      <c r="G42" s="32" t="s">
        <v>122</v>
      </c>
      <c r="H42" s="32" t="s">
        <v>108</v>
      </c>
      <c r="I42" s="3"/>
    </row>
    <row r="43" spans="1:9" ht="45" hidden="1" x14ac:dyDescent="0.25">
      <c r="A43" s="134"/>
      <c r="B43" s="134"/>
      <c r="C43" s="29" t="s">
        <v>119</v>
      </c>
      <c r="D43" s="8">
        <v>43462</v>
      </c>
      <c r="E43" s="3" t="s">
        <v>163</v>
      </c>
      <c r="F43" s="3" t="s">
        <v>137</v>
      </c>
      <c r="G43" s="32" t="s">
        <v>122</v>
      </c>
      <c r="H43" s="32" t="s">
        <v>108</v>
      </c>
      <c r="I43" s="30"/>
    </row>
    <row r="44" spans="1:9" ht="60" hidden="1" x14ac:dyDescent="0.25">
      <c r="A44" s="134"/>
      <c r="B44" s="134"/>
      <c r="C44" s="29" t="s">
        <v>171</v>
      </c>
      <c r="D44" s="52"/>
      <c r="E44" s="3" t="s">
        <v>137</v>
      </c>
      <c r="F44" s="3" t="s">
        <v>163</v>
      </c>
      <c r="G44" s="32">
        <v>43474</v>
      </c>
      <c r="H44" s="32" t="s">
        <v>108</v>
      </c>
      <c r="I44" s="30"/>
    </row>
    <row r="45" spans="1:9" ht="45" hidden="1" x14ac:dyDescent="0.25">
      <c r="A45" s="134"/>
      <c r="B45" s="134"/>
      <c r="C45" s="29" t="s">
        <v>167</v>
      </c>
      <c r="D45" s="52"/>
      <c r="E45" s="3" t="s">
        <v>137</v>
      </c>
      <c r="F45" s="3" t="s">
        <v>163</v>
      </c>
      <c r="G45" s="32">
        <v>43474</v>
      </c>
      <c r="H45" s="32" t="s">
        <v>247</v>
      </c>
      <c r="I45" s="30"/>
    </row>
    <row r="46" spans="1:9" ht="75" hidden="1" x14ac:dyDescent="0.25">
      <c r="A46" s="134"/>
      <c r="B46" s="134"/>
      <c r="C46" s="29" t="s">
        <v>189</v>
      </c>
      <c r="D46" s="52"/>
      <c r="E46" s="3" t="s">
        <v>137</v>
      </c>
      <c r="F46" s="3" t="s">
        <v>163</v>
      </c>
      <c r="G46" s="32">
        <v>43474</v>
      </c>
      <c r="H46" s="32" t="s">
        <v>108</v>
      </c>
      <c r="I46" s="29" t="s">
        <v>166</v>
      </c>
    </row>
    <row r="47" spans="1:9" ht="135" x14ac:dyDescent="0.25">
      <c r="A47" s="134"/>
      <c r="B47" s="134"/>
      <c r="C47" s="29" t="s">
        <v>172</v>
      </c>
      <c r="D47" s="52"/>
      <c r="E47" s="3" t="s">
        <v>181</v>
      </c>
      <c r="F47" s="3" t="s">
        <v>137</v>
      </c>
      <c r="G47" s="32">
        <v>43474</v>
      </c>
      <c r="H47" s="60" t="s">
        <v>261</v>
      </c>
      <c r="I47" s="30"/>
    </row>
    <row r="48" spans="1:9" ht="45" hidden="1" x14ac:dyDescent="0.25">
      <c r="A48" s="134"/>
      <c r="B48" s="134"/>
      <c r="C48" s="31" t="s">
        <v>201</v>
      </c>
      <c r="D48" s="52"/>
      <c r="E48" s="3"/>
      <c r="F48" s="3"/>
      <c r="G48" s="32">
        <v>43479</v>
      </c>
      <c r="H48" s="32" t="s">
        <v>108</v>
      </c>
      <c r="I48" s="30"/>
    </row>
    <row r="49" spans="1:9" ht="30" hidden="1" x14ac:dyDescent="0.25">
      <c r="A49" s="134"/>
      <c r="B49" s="134"/>
      <c r="C49" s="3" t="s">
        <v>168</v>
      </c>
      <c r="D49" s="52"/>
      <c r="E49" s="3" t="s">
        <v>137</v>
      </c>
      <c r="F49" s="3" t="s">
        <v>163</v>
      </c>
      <c r="G49" s="32">
        <v>43474</v>
      </c>
      <c r="H49" s="32" t="s">
        <v>247</v>
      </c>
      <c r="I49" s="51"/>
    </row>
    <row r="50" spans="1:9" ht="45" hidden="1" x14ac:dyDescent="0.25">
      <c r="A50" s="134" t="s">
        <v>15</v>
      </c>
      <c r="B50" s="3" t="s">
        <v>20</v>
      </c>
      <c r="C50" s="3" t="s">
        <v>85</v>
      </c>
      <c r="D50" s="8">
        <v>43480</v>
      </c>
      <c r="E50" s="3" t="s">
        <v>184</v>
      </c>
      <c r="F50" s="3" t="s">
        <v>87</v>
      </c>
      <c r="G50" s="8" t="s">
        <v>112</v>
      </c>
      <c r="H50" s="32" t="s">
        <v>247</v>
      </c>
      <c r="I50" s="131"/>
    </row>
    <row r="51" spans="1:9" ht="60" hidden="1" x14ac:dyDescent="0.25">
      <c r="A51" s="134"/>
      <c r="B51" s="3" t="s">
        <v>32</v>
      </c>
      <c r="C51" s="4" t="s">
        <v>157</v>
      </c>
      <c r="D51" s="52"/>
      <c r="E51" s="3" t="s">
        <v>137</v>
      </c>
      <c r="F51" s="3" t="s">
        <v>138</v>
      </c>
      <c r="G51" s="32">
        <v>43474</v>
      </c>
      <c r="H51" s="32" t="s">
        <v>108</v>
      </c>
      <c r="I51" s="131"/>
    </row>
    <row r="52" spans="1:9" ht="189" hidden="1" x14ac:dyDescent="0.25">
      <c r="A52" s="134"/>
      <c r="B52" s="3" t="s">
        <v>156</v>
      </c>
      <c r="C52" s="33" t="s">
        <v>204</v>
      </c>
      <c r="D52" s="52"/>
      <c r="E52" s="3" t="s">
        <v>137</v>
      </c>
      <c r="F52" s="3" t="s">
        <v>138</v>
      </c>
      <c r="G52" s="32">
        <v>43474</v>
      </c>
      <c r="H52" s="32" t="s">
        <v>108</v>
      </c>
      <c r="I52" s="32"/>
    </row>
    <row r="53" spans="1:9" ht="165" hidden="1" x14ac:dyDescent="0.25">
      <c r="A53" s="134"/>
      <c r="B53" s="134" t="s">
        <v>155</v>
      </c>
      <c r="C53" s="34" t="s">
        <v>206</v>
      </c>
      <c r="D53" s="49"/>
      <c r="E53" s="3" t="s">
        <v>137</v>
      </c>
      <c r="F53" s="3" t="s">
        <v>138</v>
      </c>
      <c r="G53" s="32">
        <v>43474</v>
      </c>
      <c r="H53" s="32" t="s">
        <v>247</v>
      </c>
      <c r="I53" s="32"/>
    </row>
    <row r="54" spans="1:9" ht="60" hidden="1" x14ac:dyDescent="0.25">
      <c r="A54" s="134"/>
      <c r="B54" s="134"/>
      <c r="C54" s="34" t="s">
        <v>205</v>
      </c>
      <c r="D54" s="49"/>
      <c r="E54" s="3"/>
      <c r="F54" s="3"/>
      <c r="G54" s="32"/>
      <c r="H54" s="32" t="s">
        <v>108</v>
      </c>
      <c r="I54" s="32"/>
    </row>
    <row r="55" spans="1:9" ht="45" hidden="1" x14ac:dyDescent="0.25">
      <c r="A55" s="134"/>
      <c r="B55" s="3" t="s">
        <v>158</v>
      </c>
      <c r="C55" s="35" t="s">
        <v>159</v>
      </c>
      <c r="D55" s="49"/>
      <c r="E55" s="3" t="s">
        <v>137</v>
      </c>
      <c r="F55" s="3" t="s">
        <v>138</v>
      </c>
      <c r="G55" s="32">
        <v>43474</v>
      </c>
      <c r="H55" s="32" t="s">
        <v>108</v>
      </c>
      <c r="I55" s="32"/>
    </row>
    <row r="56" spans="1:9" ht="45" hidden="1" x14ac:dyDescent="0.25">
      <c r="A56" s="137" t="s">
        <v>16</v>
      </c>
      <c r="B56" s="3" t="s">
        <v>17</v>
      </c>
      <c r="C56" s="36" t="s">
        <v>170</v>
      </c>
      <c r="D56" s="52"/>
      <c r="E56" s="3" t="s">
        <v>137</v>
      </c>
      <c r="F56" s="3" t="s">
        <v>138</v>
      </c>
      <c r="G56" s="37">
        <v>43474</v>
      </c>
      <c r="H56" s="32" t="s">
        <v>108</v>
      </c>
      <c r="I56" s="8"/>
    </row>
    <row r="57" spans="1:9" hidden="1" x14ac:dyDescent="0.25">
      <c r="A57" s="138"/>
      <c r="B57" s="3" t="s">
        <v>18</v>
      </c>
      <c r="C57" s="36"/>
      <c r="D57" s="8"/>
      <c r="E57" s="3"/>
      <c r="F57" s="3"/>
      <c r="G57" s="38"/>
      <c r="H57" s="32"/>
      <c r="I57" s="8"/>
    </row>
    <row r="58" spans="1:9" ht="120" hidden="1" x14ac:dyDescent="0.25">
      <c r="A58" s="138"/>
      <c r="B58" s="39" t="s">
        <v>31</v>
      </c>
      <c r="C58" s="36" t="s">
        <v>169</v>
      </c>
      <c r="D58" s="8">
        <v>43480</v>
      </c>
      <c r="E58" s="3" t="s">
        <v>137</v>
      </c>
      <c r="F58" s="3" t="s">
        <v>87</v>
      </c>
      <c r="G58" s="40" t="s">
        <v>192</v>
      </c>
      <c r="H58" s="32" t="s">
        <v>108</v>
      </c>
      <c r="I58" s="3"/>
    </row>
    <row r="59" spans="1:9" ht="30" hidden="1" x14ac:dyDescent="0.25">
      <c r="A59" s="138"/>
      <c r="B59" s="132" t="s">
        <v>152</v>
      </c>
      <c r="C59" s="29" t="s">
        <v>176</v>
      </c>
      <c r="D59" s="49"/>
      <c r="E59" s="3" t="s">
        <v>137</v>
      </c>
      <c r="F59" s="3" t="s">
        <v>138</v>
      </c>
      <c r="G59" s="41">
        <v>43473</v>
      </c>
      <c r="H59" s="32" t="s">
        <v>108</v>
      </c>
      <c r="I59" s="3"/>
    </row>
    <row r="60" spans="1:9" ht="30" hidden="1" x14ac:dyDescent="0.25">
      <c r="A60" s="138"/>
      <c r="B60" s="132"/>
      <c r="C60" s="42" t="s">
        <v>177</v>
      </c>
      <c r="D60" s="49"/>
      <c r="E60" s="27" t="s">
        <v>137</v>
      </c>
      <c r="F60" s="27" t="s">
        <v>138</v>
      </c>
      <c r="G60" s="44">
        <v>43474</v>
      </c>
      <c r="H60" s="32" t="s">
        <v>108</v>
      </c>
      <c r="I60" s="3"/>
    </row>
    <row r="61" spans="1:9" ht="45" hidden="1" x14ac:dyDescent="0.25">
      <c r="A61" s="138"/>
      <c r="B61" s="39" t="s">
        <v>153</v>
      </c>
      <c r="C61" s="39" t="s">
        <v>190</v>
      </c>
      <c r="D61" s="49"/>
      <c r="E61" s="27" t="s">
        <v>138</v>
      </c>
      <c r="F61" s="27" t="s">
        <v>137</v>
      </c>
      <c r="G61" s="41">
        <v>43473</v>
      </c>
      <c r="H61" s="32" t="s">
        <v>108</v>
      </c>
      <c r="I61" s="3"/>
    </row>
    <row r="62" spans="1:9" ht="30" hidden="1" x14ac:dyDescent="0.25">
      <c r="A62" s="138"/>
      <c r="B62" s="140" t="s">
        <v>19</v>
      </c>
      <c r="C62" s="29" t="s">
        <v>91</v>
      </c>
      <c r="D62" s="32">
        <v>43480</v>
      </c>
      <c r="E62" s="27" t="s">
        <v>137</v>
      </c>
      <c r="F62" s="27" t="s">
        <v>121</v>
      </c>
      <c r="G62" s="146" t="s">
        <v>113</v>
      </c>
      <c r="H62" s="32" t="s">
        <v>108</v>
      </c>
      <c r="I62" s="3"/>
    </row>
    <row r="63" spans="1:9" ht="45" hidden="1" x14ac:dyDescent="0.25">
      <c r="A63" s="138"/>
      <c r="B63" s="141"/>
      <c r="C63" s="45" t="s">
        <v>131</v>
      </c>
      <c r="D63" s="41" t="s">
        <v>132</v>
      </c>
      <c r="E63" s="27" t="s">
        <v>137</v>
      </c>
      <c r="F63" s="27" t="s">
        <v>138</v>
      </c>
      <c r="G63" s="146"/>
      <c r="H63" s="32" t="s">
        <v>247</v>
      </c>
      <c r="I63" s="3"/>
    </row>
    <row r="64" spans="1:9" ht="30" hidden="1" x14ac:dyDescent="0.25">
      <c r="A64" s="138"/>
      <c r="B64" s="141"/>
      <c r="C64" s="45" t="s">
        <v>173</v>
      </c>
      <c r="D64" s="53"/>
      <c r="E64" s="27" t="s">
        <v>137</v>
      </c>
      <c r="F64" s="27" t="s">
        <v>138</v>
      </c>
      <c r="G64" s="44">
        <v>43474</v>
      </c>
      <c r="H64" s="32" t="s">
        <v>108</v>
      </c>
      <c r="I64" s="3"/>
    </row>
    <row r="65" spans="1:9" ht="30" hidden="1" x14ac:dyDescent="0.25">
      <c r="A65" s="138"/>
      <c r="B65" s="141"/>
      <c r="C65" s="45" t="s">
        <v>207</v>
      </c>
      <c r="D65" s="53"/>
      <c r="E65" s="27" t="s">
        <v>137</v>
      </c>
      <c r="F65" s="27" t="s">
        <v>138</v>
      </c>
      <c r="G65" s="44">
        <v>43474</v>
      </c>
      <c r="H65" s="32" t="s">
        <v>108</v>
      </c>
      <c r="I65" s="3"/>
    </row>
    <row r="66" spans="1:9" ht="30" hidden="1" x14ac:dyDescent="0.25">
      <c r="A66" s="138"/>
      <c r="B66" s="141"/>
      <c r="C66" s="45" t="s">
        <v>174</v>
      </c>
      <c r="D66" s="53"/>
      <c r="E66" s="27" t="s">
        <v>137</v>
      </c>
      <c r="F66" s="27" t="s">
        <v>138</v>
      </c>
      <c r="G66" s="44">
        <v>43474</v>
      </c>
      <c r="H66" s="27" t="s">
        <v>108</v>
      </c>
      <c r="I66" s="3"/>
    </row>
    <row r="67" spans="1:9" hidden="1" x14ac:dyDescent="0.25">
      <c r="A67" s="139"/>
      <c r="B67" s="142"/>
      <c r="C67" s="45" t="s">
        <v>244</v>
      </c>
      <c r="D67" s="53"/>
      <c r="E67" s="27" t="s">
        <v>138</v>
      </c>
      <c r="F67" s="27" t="s">
        <v>137</v>
      </c>
      <c r="G67" s="44">
        <v>43828</v>
      </c>
      <c r="H67" s="27" t="s">
        <v>245</v>
      </c>
      <c r="I67" s="3"/>
    </row>
    <row r="68" spans="1:9" ht="30" hidden="1" x14ac:dyDescent="0.25">
      <c r="A68" s="134" t="s">
        <v>94</v>
      </c>
      <c r="B68" s="46" t="s">
        <v>99</v>
      </c>
      <c r="C68" s="144" t="s">
        <v>196</v>
      </c>
      <c r="D68" s="135" t="s">
        <v>103</v>
      </c>
      <c r="E68" s="135" t="s">
        <v>104</v>
      </c>
      <c r="F68" s="133" t="s">
        <v>87</v>
      </c>
      <c r="G68" s="147" t="s">
        <v>236</v>
      </c>
      <c r="H68" s="32" t="s">
        <v>248</v>
      </c>
      <c r="I68" s="3"/>
    </row>
    <row r="69" spans="1:9" ht="30" hidden="1" x14ac:dyDescent="0.25">
      <c r="A69" s="134"/>
      <c r="B69" s="46" t="s">
        <v>100</v>
      </c>
      <c r="C69" s="145"/>
      <c r="D69" s="136"/>
      <c r="E69" s="136"/>
      <c r="F69" s="133"/>
      <c r="G69" s="147"/>
      <c r="H69" s="32" t="s">
        <v>234</v>
      </c>
      <c r="I69" s="3"/>
    </row>
    <row r="70" spans="1:9" ht="30" hidden="1" x14ac:dyDescent="0.25">
      <c r="A70" s="134"/>
      <c r="B70" s="46" t="s">
        <v>101</v>
      </c>
      <c r="C70" s="145"/>
      <c r="D70" s="136"/>
      <c r="E70" s="136"/>
      <c r="F70" s="133"/>
      <c r="G70" s="147"/>
      <c r="H70" s="32" t="s">
        <v>248</v>
      </c>
      <c r="I70" s="3"/>
    </row>
    <row r="71" spans="1:9" ht="30" hidden="1" x14ac:dyDescent="0.25">
      <c r="A71" s="134"/>
      <c r="B71" s="46" t="s">
        <v>102</v>
      </c>
      <c r="C71" s="145"/>
      <c r="D71" s="136"/>
      <c r="E71" s="136"/>
      <c r="F71" s="133"/>
      <c r="G71" s="147"/>
      <c r="H71" s="32" t="s">
        <v>248</v>
      </c>
      <c r="I71" s="3"/>
    </row>
    <row r="72" spans="1:9" hidden="1" x14ac:dyDescent="0.25">
      <c r="A72" s="134" t="s">
        <v>21</v>
      </c>
      <c r="B72" s="46" t="s">
        <v>22</v>
      </c>
      <c r="C72" s="46"/>
      <c r="D72" s="47"/>
      <c r="E72" s="46"/>
      <c r="F72" s="46"/>
      <c r="G72" s="48"/>
      <c r="H72" s="27"/>
      <c r="I72" s="3"/>
    </row>
    <row r="73" spans="1:9" hidden="1" x14ac:dyDescent="0.25">
      <c r="A73" s="134"/>
      <c r="B73" s="46" t="s">
        <v>23</v>
      </c>
      <c r="C73" s="46"/>
      <c r="D73" s="47"/>
      <c r="E73" s="46"/>
      <c r="F73" s="46"/>
      <c r="G73" s="48"/>
      <c r="H73" s="27"/>
      <c r="I73" s="3"/>
    </row>
    <row r="74" spans="1:9" hidden="1" x14ac:dyDescent="0.25">
      <c r="A74" s="134" t="s">
        <v>38</v>
      </c>
      <c r="B74" s="3" t="s">
        <v>39</v>
      </c>
      <c r="C74" s="3"/>
      <c r="D74" s="8"/>
      <c r="E74" s="3"/>
      <c r="F74" s="3"/>
      <c r="G74" s="32"/>
      <c r="H74" s="27"/>
      <c r="I74" s="3"/>
    </row>
    <row r="75" spans="1:9" hidden="1" x14ac:dyDescent="0.25">
      <c r="A75" s="134"/>
      <c r="B75" s="3" t="s">
        <v>21</v>
      </c>
      <c r="C75" s="3"/>
      <c r="D75" s="8"/>
      <c r="E75" s="3"/>
      <c r="F75" s="3"/>
      <c r="G75" s="32"/>
      <c r="H75" s="27"/>
      <c r="I75" s="3"/>
    </row>
    <row r="76" spans="1:9" ht="30" hidden="1" x14ac:dyDescent="0.25">
      <c r="A76" s="134"/>
      <c r="B76" s="3" t="s">
        <v>40</v>
      </c>
      <c r="C76" s="3"/>
      <c r="D76" s="8"/>
      <c r="E76" s="3"/>
      <c r="F76" s="3"/>
      <c r="G76" s="32"/>
      <c r="H76" s="27"/>
      <c r="I76" s="3"/>
    </row>
    <row r="77" spans="1:9" ht="45" hidden="1" x14ac:dyDescent="0.25">
      <c r="A77" s="134"/>
      <c r="B77" s="3" t="s">
        <v>48</v>
      </c>
      <c r="C77" s="3"/>
      <c r="D77" s="8"/>
      <c r="E77" s="3"/>
      <c r="F77" s="3"/>
      <c r="G77" s="32"/>
      <c r="H77" s="27"/>
      <c r="I77" s="3"/>
    </row>
    <row r="78" spans="1:9" ht="45" hidden="1" x14ac:dyDescent="0.25">
      <c r="A78" s="134"/>
      <c r="B78" s="3" t="s">
        <v>47</v>
      </c>
      <c r="C78" s="3"/>
      <c r="D78" s="8"/>
      <c r="E78" s="3"/>
      <c r="F78" s="3"/>
      <c r="G78" s="32"/>
      <c r="H78" s="27"/>
      <c r="I78" s="3"/>
    </row>
    <row r="79" spans="1:9" ht="45" hidden="1" x14ac:dyDescent="0.25">
      <c r="A79" s="134"/>
      <c r="B79" s="3" t="s">
        <v>46</v>
      </c>
      <c r="C79" s="3"/>
      <c r="D79" s="8"/>
      <c r="E79" s="3"/>
      <c r="F79" s="3"/>
      <c r="G79" s="32"/>
      <c r="H79" s="27"/>
      <c r="I79" s="3"/>
    </row>
    <row r="80" spans="1:9" ht="45" hidden="1" x14ac:dyDescent="0.25">
      <c r="A80" s="134"/>
      <c r="B80" s="3" t="s">
        <v>45</v>
      </c>
      <c r="C80" s="3"/>
      <c r="D80" s="8"/>
      <c r="E80" s="3"/>
      <c r="F80" s="3"/>
      <c r="G80" s="32"/>
      <c r="H80" s="27"/>
      <c r="I80" s="3"/>
    </row>
    <row r="81" spans="1:9" ht="45" hidden="1" x14ac:dyDescent="0.25">
      <c r="A81" s="134"/>
      <c r="B81" s="3" t="s">
        <v>44</v>
      </c>
      <c r="C81" s="3"/>
      <c r="D81" s="8"/>
      <c r="E81" s="3"/>
      <c r="F81" s="3"/>
      <c r="G81" s="32"/>
      <c r="H81" s="27"/>
      <c r="I81" s="3"/>
    </row>
    <row r="82" spans="1:9" ht="45" hidden="1" x14ac:dyDescent="0.25">
      <c r="A82" s="134"/>
      <c r="B82" s="3" t="s">
        <v>43</v>
      </c>
      <c r="C82" s="3"/>
      <c r="D82" s="8"/>
      <c r="E82" s="3"/>
      <c r="F82" s="3"/>
      <c r="G82" s="32"/>
      <c r="H82" s="27"/>
      <c r="I82" s="3"/>
    </row>
    <row r="83" spans="1:9" ht="60" hidden="1" x14ac:dyDescent="0.25">
      <c r="A83" s="134"/>
      <c r="B83" s="3" t="s">
        <v>42</v>
      </c>
      <c r="C83" s="3"/>
      <c r="D83" s="8"/>
      <c r="E83" s="3"/>
      <c r="F83" s="3"/>
      <c r="G83" s="32"/>
      <c r="H83" s="27"/>
      <c r="I83" s="3"/>
    </row>
    <row r="84" spans="1:9" ht="45" hidden="1" x14ac:dyDescent="0.25">
      <c r="A84" s="134"/>
      <c r="B84" s="3" t="s">
        <v>41</v>
      </c>
      <c r="C84" s="3"/>
      <c r="D84" s="8"/>
      <c r="E84" s="3"/>
      <c r="F84" s="3"/>
      <c r="G84" s="32"/>
      <c r="H84" s="27"/>
      <c r="I84" s="3"/>
    </row>
    <row r="85" spans="1:9" ht="19.5" hidden="1" x14ac:dyDescent="0.25">
      <c r="A85" s="143" t="s">
        <v>90</v>
      </c>
      <c r="B85" s="143"/>
      <c r="C85" s="143"/>
      <c r="D85" s="143"/>
      <c r="E85" s="143"/>
      <c r="F85" s="143"/>
      <c r="G85" s="143"/>
    </row>
    <row r="86" spans="1:9" ht="57" hidden="1" x14ac:dyDescent="0.25">
      <c r="A86" s="2" t="s">
        <v>61</v>
      </c>
      <c r="B86" s="2" t="s">
        <v>83</v>
      </c>
      <c r="C86" s="2" t="s">
        <v>71</v>
      </c>
      <c r="D86" s="2" t="s">
        <v>72</v>
      </c>
      <c r="E86" s="2" t="s">
        <v>84</v>
      </c>
      <c r="F86" s="2" t="s">
        <v>86</v>
      </c>
      <c r="G86" s="2" t="s">
        <v>106</v>
      </c>
      <c r="H86" s="2"/>
      <c r="I86" s="2" t="s">
        <v>107</v>
      </c>
    </row>
    <row r="87" spans="1:9" ht="45" hidden="1" x14ac:dyDescent="0.25">
      <c r="A87" s="27">
        <v>1</v>
      </c>
      <c r="B87" s="134" t="s">
        <v>80</v>
      </c>
      <c r="C87" s="3" t="s">
        <v>74</v>
      </c>
      <c r="D87" s="32">
        <v>43467</v>
      </c>
      <c r="E87" s="3" t="s">
        <v>73</v>
      </c>
      <c r="F87" s="3" t="s">
        <v>75</v>
      </c>
      <c r="G87" s="32" t="s">
        <v>112</v>
      </c>
      <c r="H87" s="32" t="s">
        <v>108</v>
      </c>
      <c r="I87" s="32" t="s">
        <v>134</v>
      </c>
    </row>
    <row r="88" spans="1:9" ht="60" hidden="1" x14ac:dyDescent="0.25">
      <c r="A88" s="27">
        <f>A87+1</f>
        <v>2</v>
      </c>
      <c r="B88" s="134"/>
      <c r="C88" s="3" t="s">
        <v>88</v>
      </c>
      <c r="D88" s="32">
        <v>43472</v>
      </c>
      <c r="E88" s="3" t="s">
        <v>89</v>
      </c>
      <c r="F88" s="3" t="s">
        <v>87</v>
      </c>
      <c r="G88" s="32" t="s">
        <v>112</v>
      </c>
      <c r="H88" s="32" t="s">
        <v>108</v>
      </c>
      <c r="I88" s="32" t="s">
        <v>135</v>
      </c>
    </row>
    <row r="89" spans="1:9" ht="162.75" hidden="1" customHeight="1" x14ac:dyDescent="0.25">
      <c r="A89" s="27">
        <f t="shared" ref="A89:A106" si="0">A88+1</f>
        <v>3</v>
      </c>
      <c r="B89" s="134" t="s">
        <v>150</v>
      </c>
      <c r="C89" s="50" t="s">
        <v>237</v>
      </c>
      <c r="D89" s="32"/>
      <c r="E89" s="3" t="s">
        <v>138</v>
      </c>
      <c r="F89" s="3" t="s">
        <v>137</v>
      </c>
      <c r="G89" s="32">
        <v>43473</v>
      </c>
      <c r="H89" s="49" t="s">
        <v>108</v>
      </c>
      <c r="I89" s="32"/>
    </row>
    <row r="90" spans="1:9" ht="108.75" hidden="1" customHeight="1" x14ac:dyDescent="0.25">
      <c r="A90" s="27">
        <f t="shared" si="0"/>
        <v>4</v>
      </c>
      <c r="B90" s="134"/>
      <c r="C90" s="4" t="s">
        <v>154</v>
      </c>
      <c r="D90" s="49"/>
      <c r="E90" s="3" t="s">
        <v>138</v>
      </c>
      <c r="F90" s="3" t="s">
        <v>137</v>
      </c>
      <c r="G90" s="32">
        <v>43474</v>
      </c>
      <c r="H90" s="49" t="s">
        <v>108</v>
      </c>
      <c r="I90" s="32"/>
    </row>
    <row r="91" spans="1:9" ht="120" hidden="1" x14ac:dyDescent="0.25">
      <c r="A91" s="27"/>
      <c r="B91" s="134"/>
      <c r="C91" s="4" t="s">
        <v>210</v>
      </c>
      <c r="D91" s="49"/>
      <c r="E91" s="3" t="s">
        <v>138</v>
      </c>
      <c r="F91" s="3" t="s">
        <v>137</v>
      </c>
      <c r="G91" s="32">
        <v>43479</v>
      </c>
      <c r="H91" s="49" t="s">
        <v>108</v>
      </c>
      <c r="I91" s="32"/>
    </row>
    <row r="92" spans="1:9" ht="30" hidden="1" x14ac:dyDescent="0.25">
      <c r="A92" s="27">
        <f>A90+1</f>
        <v>5</v>
      </c>
      <c r="B92" s="134"/>
      <c r="C92" s="4" t="s">
        <v>211</v>
      </c>
      <c r="D92" s="49"/>
      <c r="E92" s="3" t="s">
        <v>138</v>
      </c>
      <c r="F92" s="3" t="s">
        <v>137</v>
      </c>
      <c r="G92" s="32">
        <v>43479</v>
      </c>
      <c r="H92" s="32" t="s">
        <v>108</v>
      </c>
      <c r="I92" s="32"/>
    </row>
    <row r="93" spans="1:9" ht="30" hidden="1" x14ac:dyDescent="0.25">
      <c r="A93" s="27">
        <f t="shared" si="0"/>
        <v>6</v>
      </c>
      <c r="B93" s="134"/>
      <c r="C93" s="4" t="s">
        <v>178</v>
      </c>
      <c r="D93" s="49"/>
      <c r="E93" s="3" t="s">
        <v>137</v>
      </c>
      <c r="F93" s="3" t="s">
        <v>181</v>
      </c>
      <c r="G93" s="32">
        <v>43474</v>
      </c>
      <c r="H93" s="32" t="s">
        <v>247</v>
      </c>
      <c r="I93" s="32"/>
    </row>
    <row r="94" spans="1:9" hidden="1" x14ac:dyDescent="0.25">
      <c r="A94" s="27">
        <f t="shared" si="0"/>
        <v>7</v>
      </c>
      <c r="B94" s="134"/>
      <c r="C94" s="4" t="s">
        <v>179</v>
      </c>
      <c r="D94" s="49"/>
      <c r="E94" s="3" t="s">
        <v>138</v>
      </c>
      <c r="F94" s="3" t="s">
        <v>137</v>
      </c>
      <c r="G94" s="32">
        <v>43474</v>
      </c>
      <c r="H94" s="32" t="s">
        <v>108</v>
      </c>
      <c r="I94" s="32"/>
    </row>
    <row r="95" spans="1:9" hidden="1" x14ac:dyDescent="0.25">
      <c r="A95" s="27">
        <f t="shared" si="0"/>
        <v>8</v>
      </c>
      <c r="B95" s="134"/>
      <c r="C95" s="4" t="s">
        <v>180</v>
      </c>
      <c r="D95" s="49"/>
      <c r="E95" s="3" t="s">
        <v>163</v>
      </c>
      <c r="F95" s="3" t="s">
        <v>137</v>
      </c>
      <c r="G95" s="32">
        <v>43474</v>
      </c>
      <c r="H95" s="32" t="s">
        <v>247</v>
      </c>
      <c r="I95" s="32" t="s">
        <v>208</v>
      </c>
    </row>
    <row r="96" spans="1:9" ht="30" hidden="1" x14ac:dyDescent="0.25">
      <c r="A96" s="27"/>
      <c r="B96" s="134"/>
      <c r="C96" s="4" t="s">
        <v>213</v>
      </c>
      <c r="D96" s="49"/>
      <c r="E96" s="3"/>
      <c r="F96" s="3"/>
      <c r="G96" s="32"/>
      <c r="H96" s="32" t="s">
        <v>247</v>
      </c>
      <c r="I96" s="32"/>
    </row>
    <row r="97" spans="1:9" ht="60" hidden="1" x14ac:dyDescent="0.25">
      <c r="A97" s="27"/>
      <c r="B97" s="134"/>
      <c r="C97" s="4" t="s">
        <v>214</v>
      </c>
      <c r="D97" s="49"/>
      <c r="E97" s="3"/>
      <c r="F97" s="3"/>
      <c r="G97" s="32"/>
      <c r="H97" s="32" t="s">
        <v>108</v>
      </c>
      <c r="I97" s="32"/>
    </row>
    <row r="98" spans="1:9" ht="30" hidden="1" x14ac:dyDescent="0.25">
      <c r="A98" s="27">
        <f>A95+1</f>
        <v>9</v>
      </c>
      <c r="B98" s="134"/>
      <c r="C98" s="4" t="s">
        <v>151</v>
      </c>
      <c r="D98" s="49">
        <v>43475</v>
      </c>
      <c r="E98" s="3" t="s">
        <v>137</v>
      </c>
      <c r="F98" s="3" t="s">
        <v>138</v>
      </c>
      <c r="G98" s="32">
        <v>43473</v>
      </c>
      <c r="H98" s="32" t="s">
        <v>108</v>
      </c>
      <c r="I98" s="32"/>
    </row>
    <row r="99" spans="1:9" ht="75" hidden="1" x14ac:dyDescent="0.25">
      <c r="A99" s="27">
        <f>A98+1</f>
        <v>10</v>
      </c>
      <c r="B99" s="134"/>
      <c r="C99" s="4" t="s">
        <v>219</v>
      </c>
      <c r="D99" s="49">
        <v>43476</v>
      </c>
      <c r="E99" s="3" t="s">
        <v>138</v>
      </c>
      <c r="F99" s="3" t="s">
        <v>137</v>
      </c>
      <c r="G99" s="32">
        <v>43473</v>
      </c>
      <c r="H99" s="32" t="s">
        <v>247</v>
      </c>
      <c r="I99" s="32"/>
    </row>
    <row r="100" spans="1:9" hidden="1" x14ac:dyDescent="0.25">
      <c r="A100" s="27"/>
      <c r="B100" s="27"/>
      <c r="C100" s="4" t="s">
        <v>220</v>
      </c>
      <c r="D100" s="49"/>
      <c r="E100" s="3"/>
      <c r="F100" s="3"/>
      <c r="G100" s="32">
        <v>43479</v>
      </c>
      <c r="H100" s="32"/>
      <c r="I100" s="32"/>
    </row>
    <row r="101" spans="1:9" ht="90" hidden="1" x14ac:dyDescent="0.25">
      <c r="A101" s="27"/>
      <c r="B101" s="27"/>
      <c r="C101" s="4" t="s">
        <v>224</v>
      </c>
      <c r="D101" s="49"/>
      <c r="E101" s="3"/>
      <c r="F101" s="3"/>
      <c r="G101" s="32"/>
      <c r="H101" s="32"/>
      <c r="I101" s="32"/>
    </row>
    <row r="102" spans="1:9" ht="75" hidden="1" x14ac:dyDescent="0.25">
      <c r="A102" s="27">
        <f>A99+1</f>
        <v>11</v>
      </c>
      <c r="B102" s="134" t="s">
        <v>76</v>
      </c>
      <c r="C102" s="3" t="s">
        <v>164</v>
      </c>
      <c r="D102" s="32">
        <v>43476</v>
      </c>
      <c r="E102" s="3" t="s">
        <v>78</v>
      </c>
      <c r="F102" s="3" t="s">
        <v>165</v>
      </c>
      <c r="G102" s="32">
        <v>43474</v>
      </c>
      <c r="H102" s="54" t="s">
        <v>239</v>
      </c>
      <c r="I102" s="32" t="s">
        <v>193</v>
      </c>
    </row>
    <row r="103" spans="1:9" ht="45" hidden="1" x14ac:dyDescent="0.25">
      <c r="A103" s="27">
        <f t="shared" si="0"/>
        <v>12</v>
      </c>
      <c r="B103" s="134"/>
      <c r="C103" s="3" t="s">
        <v>77</v>
      </c>
      <c r="D103" s="32">
        <v>43479</v>
      </c>
      <c r="E103" s="3" t="s">
        <v>73</v>
      </c>
      <c r="F103" s="3" t="s">
        <v>87</v>
      </c>
      <c r="G103" s="32" t="s">
        <v>112</v>
      </c>
      <c r="H103" s="54" t="s">
        <v>238</v>
      </c>
      <c r="I103" s="32" t="s">
        <v>209</v>
      </c>
    </row>
    <row r="104" spans="1:9" ht="45" hidden="1" x14ac:dyDescent="0.25">
      <c r="A104" s="27">
        <f t="shared" si="0"/>
        <v>13</v>
      </c>
      <c r="B104" s="134"/>
      <c r="C104" s="3" t="s">
        <v>79</v>
      </c>
      <c r="D104" s="32">
        <v>43480</v>
      </c>
      <c r="E104" s="3" t="s">
        <v>78</v>
      </c>
      <c r="F104" s="3" t="s">
        <v>87</v>
      </c>
      <c r="G104" s="32" t="s">
        <v>112</v>
      </c>
      <c r="H104" s="32" t="s">
        <v>249</v>
      </c>
      <c r="I104" s="32"/>
    </row>
    <row r="105" spans="1:9" ht="45" hidden="1" x14ac:dyDescent="0.25">
      <c r="A105" s="27">
        <f t="shared" si="0"/>
        <v>14</v>
      </c>
      <c r="B105" s="134"/>
      <c r="C105" s="3" t="s">
        <v>76</v>
      </c>
      <c r="D105" s="32">
        <v>43480</v>
      </c>
      <c r="E105" s="3" t="s">
        <v>78</v>
      </c>
      <c r="F105" s="3" t="s">
        <v>87</v>
      </c>
      <c r="G105" s="32" t="s">
        <v>112</v>
      </c>
      <c r="H105" s="32" t="s">
        <v>249</v>
      </c>
      <c r="I105" s="32"/>
    </row>
    <row r="106" spans="1:9" ht="60" hidden="1" x14ac:dyDescent="0.25">
      <c r="A106" s="27">
        <f t="shared" si="0"/>
        <v>15</v>
      </c>
      <c r="B106" s="3" t="s">
        <v>82</v>
      </c>
      <c r="C106" s="3" t="s">
        <v>82</v>
      </c>
      <c r="D106" s="32">
        <v>43480</v>
      </c>
      <c r="E106" s="3" t="s">
        <v>81</v>
      </c>
      <c r="F106" s="3" t="s">
        <v>87</v>
      </c>
      <c r="G106" s="32" t="s">
        <v>112</v>
      </c>
      <c r="H106" s="32" t="s">
        <v>108</v>
      </c>
      <c r="I106" s="32"/>
    </row>
  </sheetData>
  <autoFilter ref="A3:I106">
    <filterColumn colId="7">
      <filters>
        <filter val="ATT đã confirm, chờ ATZ confirm"/>
        <filter val="ATZ đã gửi 16/1, chờ ATT confirm"/>
        <filter val="Chờ ATT, ATZ confirm"/>
      </filters>
    </filterColumn>
  </autoFilter>
  <mergeCells count="35">
    <mergeCell ref="I50:I51"/>
    <mergeCell ref="B53:B54"/>
    <mergeCell ref="B102:B105"/>
    <mergeCell ref="A68:A71"/>
    <mergeCell ref="C68:C71"/>
    <mergeCell ref="D68:D71"/>
    <mergeCell ref="E68:E71"/>
    <mergeCell ref="A72:A73"/>
    <mergeCell ref="A74:A84"/>
    <mergeCell ref="A85:G85"/>
    <mergeCell ref="B87:B88"/>
    <mergeCell ref="B89:B99"/>
    <mergeCell ref="F68:F71"/>
    <mergeCell ref="G68:G71"/>
    <mergeCell ref="A56:A67"/>
    <mergeCell ref="B59:B60"/>
    <mergeCell ref="B62:B67"/>
    <mergeCell ref="G62:G63"/>
    <mergeCell ref="A14:A21"/>
    <mergeCell ref="A22:A28"/>
    <mergeCell ref="B22:B23"/>
    <mergeCell ref="B26:B28"/>
    <mergeCell ref="A30:A41"/>
    <mergeCell ref="B34:B35"/>
    <mergeCell ref="B36:B37"/>
    <mergeCell ref="B40:B41"/>
    <mergeCell ref="A42:A49"/>
    <mergeCell ref="B42:B49"/>
    <mergeCell ref="A50:A55"/>
    <mergeCell ref="A1:G1"/>
    <mergeCell ref="A2:G2"/>
    <mergeCell ref="A4:A8"/>
    <mergeCell ref="B5:B6"/>
    <mergeCell ref="A10:A13"/>
    <mergeCell ref="B10:B11"/>
  </mergeCells>
  <hyperlinks>
    <hyperlink ref="A2" r:id="rId1"/>
  </hyperlinks>
  <pageMargins left="0.7" right="0.7" top="0.75" bottom="0.75" header="0.3" footer="0.3"/>
  <pageSetup orientation="portrait" r:id="rId2"/>
  <drawing r:id="rId3"/>
  <legacyDrawing r:id="rId4"/>
  <oleObjects>
    <mc:AlternateContent xmlns:mc="http://schemas.openxmlformats.org/markup-compatibility/2006">
      <mc:Choice Requires="x14">
        <oleObject progId="Packager Shell Object" dvAspect="DVASPECT_ICON" shapeId="6145" r:id="rId5">
          <objectPr defaultSize="0" r:id="rId6">
            <anchor moveWithCells="1">
              <from>
                <xdr:col>7</xdr:col>
                <xdr:colOff>542925</xdr:colOff>
                <xdr:row>11</xdr:row>
                <xdr:rowOff>428625</xdr:rowOff>
              </from>
              <to>
                <xdr:col>7</xdr:col>
                <xdr:colOff>1323975</xdr:colOff>
                <xdr:row>11</xdr:row>
                <xdr:rowOff>942975</xdr:rowOff>
              </to>
            </anchor>
          </objectPr>
        </oleObject>
      </mc:Choice>
      <mc:Fallback>
        <oleObject progId="Packager Shell Object" dvAspect="DVASPECT_ICON" shapeId="6145" r:id="rId5"/>
      </mc:Fallback>
    </mc:AlternateContent>
    <mc:AlternateContent xmlns:mc="http://schemas.openxmlformats.org/markup-compatibility/2006">
      <mc:Choice Requires="x14">
        <oleObject progId="Document" dvAspect="DVASPECT_ICON" shapeId="6146" r:id="rId7">
          <objectPr defaultSize="0" r:id="rId8">
            <anchor moveWithCells="1">
              <from>
                <xdr:col>7</xdr:col>
                <xdr:colOff>428625</xdr:colOff>
                <xdr:row>39</xdr:row>
                <xdr:rowOff>409575</xdr:rowOff>
              </from>
              <to>
                <xdr:col>7</xdr:col>
                <xdr:colOff>1343025</xdr:colOff>
                <xdr:row>39</xdr:row>
                <xdr:rowOff>1095375</xdr:rowOff>
              </to>
            </anchor>
          </objectPr>
        </oleObject>
      </mc:Choice>
      <mc:Fallback>
        <oleObject progId="Document" dvAspect="DVASPECT_ICON" shapeId="6146" r:id="rId7"/>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zoomScale="85" zoomScaleNormal="85" workbookViewId="0">
      <pane xSplit="2" ySplit="2" topLeftCell="C3" activePane="bottomRight" state="frozen"/>
      <selection activeCell="G8" sqref="G8"/>
      <selection pane="topRight" activeCell="G8" sqref="G8"/>
      <selection pane="bottomLeft" activeCell="G8" sqref="G8"/>
      <selection pane="bottomRight" activeCell="C14" sqref="C14:C15"/>
    </sheetView>
  </sheetViews>
  <sheetFormatPr defaultColWidth="8.85546875" defaultRowHeight="15" x14ac:dyDescent="0.25"/>
  <cols>
    <col min="1" max="1" width="8.85546875" style="1"/>
    <col min="2" max="2" width="32" style="1" customWidth="1"/>
    <col min="3" max="3" width="46.140625" style="1" customWidth="1"/>
    <col min="4" max="4" width="29" style="1" customWidth="1"/>
    <col min="5" max="7" width="16.140625" style="1" customWidth="1"/>
    <col min="8" max="9" width="19.42578125" style="1" customWidth="1"/>
    <col min="10" max="16384" width="8.85546875" style="1"/>
  </cols>
  <sheetData>
    <row r="1" spans="1:9" ht="39" customHeight="1" x14ac:dyDescent="0.25">
      <c r="A1" s="159" t="s">
        <v>64</v>
      </c>
      <c r="B1" s="143"/>
      <c r="C1" s="143"/>
      <c r="D1" s="143"/>
      <c r="E1" s="143"/>
      <c r="F1" s="143"/>
      <c r="G1" s="143"/>
      <c r="H1" s="143"/>
    </row>
    <row r="2" spans="1:9" ht="45" customHeight="1" x14ac:dyDescent="0.25">
      <c r="A2" s="2" t="s">
        <v>61</v>
      </c>
      <c r="B2" s="2" t="s">
        <v>62</v>
      </c>
      <c r="C2" s="2" t="s">
        <v>83</v>
      </c>
      <c r="D2" s="2" t="s">
        <v>71</v>
      </c>
      <c r="E2" s="2" t="s">
        <v>72</v>
      </c>
      <c r="F2" s="2" t="s">
        <v>84</v>
      </c>
      <c r="G2" s="2" t="s">
        <v>86</v>
      </c>
      <c r="H2" s="2" t="s">
        <v>106</v>
      </c>
      <c r="I2" s="2" t="s">
        <v>107</v>
      </c>
    </row>
    <row r="3" spans="1:9" ht="30" x14ac:dyDescent="0.25">
      <c r="A3" s="6">
        <v>1</v>
      </c>
      <c r="B3" s="9" t="s">
        <v>63</v>
      </c>
      <c r="C3" s="3" t="s">
        <v>65</v>
      </c>
      <c r="D3" s="9"/>
      <c r="E3" s="3" t="s">
        <v>109</v>
      </c>
      <c r="F3" s="3"/>
      <c r="G3" s="3"/>
      <c r="H3" s="8">
        <v>43460</v>
      </c>
      <c r="I3" s="8"/>
    </row>
    <row r="4" spans="1:9" ht="171.75" customHeight="1" x14ac:dyDescent="0.25">
      <c r="A4" s="18">
        <f>A3+1</f>
        <v>2</v>
      </c>
      <c r="B4" s="157" t="s">
        <v>227</v>
      </c>
      <c r="C4" s="4" t="s">
        <v>226</v>
      </c>
      <c r="D4" s="9"/>
      <c r="E4" s="3" t="s">
        <v>109</v>
      </c>
      <c r="F4" s="3"/>
      <c r="G4" s="3"/>
      <c r="H4" s="8">
        <v>43479</v>
      </c>
      <c r="I4" s="8"/>
    </row>
    <row r="5" spans="1:9" x14ac:dyDescent="0.25">
      <c r="A5" s="18">
        <f t="shared" ref="A5:A22" si="0">A4+1</f>
        <v>3</v>
      </c>
      <c r="B5" s="158"/>
      <c r="C5" s="3" t="s">
        <v>212</v>
      </c>
      <c r="D5" s="9"/>
      <c r="E5" s="3" t="s">
        <v>109</v>
      </c>
      <c r="F5" s="3"/>
      <c r="G5" s="3"/>
      <c r="H5" s="8">
        <v>43479</v>
      </c>
      <c r="I5" s="8"/>
    </row>
    <row r="6" spans="1:9" s="5" customFormat="1" ht="30" x14ac:dyDescent="0.25">
      <c r="A6" s="18">
        <f t="shared" si="0"/>
        <v>4</v>
      </c>
      <c r="B6" s="26" t="s">
        <v>229</v>
      </c>
      <c r="C6" s="20" t="s">
        <v>221</v>
      </c>
      <c r="D6" s="9"/>
      <c r="E6" s="3" t="s">
        <v>109</v>
      </c>
      <c r="F6" s="19"/>
      <c r="G6" s="25"/>
      <c r="H6" s="8">
        <v>43479</v>
      </c>
      <c r="I6" s="25"/>
    </row>
    <row r="7" spans="1:9" x14ac:dyDescent="0.25">
      <c r="A7" s="18">
        <f t="shared" si="0"/>
        <v>5</v>
      </c>
      <c r="B7" s="9" t="s">
        <v>228</v>
      </c>
      <c r="C7" s="3" t="s">
        <v>225</v>
      </c>
      <c r="D7" s="9"/>
      <c r="E7" s="3" t="s">
        <v>109</v>
      </c>
      <c r="F7" s="3"/>
      <c r="G7" s="3"/>
      <c r="H7" s="8">
        <v>43479</v>
      </c>
      <c r="I7" s="8"/>
    </row>
    <row r="8" spans="1:9" ht="60" x14ac:dyDescent="0.25">
      <c r="A8" s="18">
        <f t="shared" si="0"/>
        <v>6</v>
      </c>
      <c r="B8" s="9" t="s">
        <v>231</v>
      </c>
      <c r="C8" s="3" t="s">
        <v>230</v>
      </c>
      <c r="D8" s="9"/>
      <c r="E8" s="3" t="s">
        <v>109</v>
      </c>
      <c r="F8" s="3"/>
      <c r="G8" s="3"/>
      <c r="H8" s="8">
        <v>43479</v>
      </c>
      <c r="I8" s="8"/>
    </row>
    <row r="9" spans="1:9" s="72" customFormat="1" ht="75" x14ac:dyDescent="0.25">
      <c r="A9" s="163">
        <f t="shared" si="0"/>
        <v>7</v>
      </c>
      <c r="B9" s="163" t="s">
        <v>56</v>
      </c>
      <c r="C9" s="68" t="s">
        <v>66</v>
      </c>
      <c r="D9" s="69"/>
      <c r="E9" s="70" t="s">
        <v>109</v>
      </c>
      <c r="F9" s="70"/>
      <c r="G9" s="70"/>
      <c r="H9" s="71">
        <v>43460</v>
      </c>
      <c r="I9" s="71"/>
    </row>
    <row r="10" spans="1:9" s="72" customFormat="1" ht="30" x14ac:dyDescent="0.25">
      <c r="A10" s="164"/>
      <c r="B10" s="164"/>
      <c r="C10" s="73" t="s">
        <v>175</v>
      </c>
      <c r="D10" s="69"/>
      <c r="E10" s="70" t="s">
        <v>109</v>
      </c>
      <c r="F10" s="70"/>
      <c r="G10" s="70"/>
      <c r="H10" s="71"/>
      <c r="I10" s="70"/>
    </row>
    <row r="11" spans="1:9" s="72" customFormat="1" x14ac:dyDescent="0.25">
      <c r="A11" s="74">
        <f>A9+1</f>
        <v>8</v>
      </c>
      <c r="B11" s="69" t="s">
        <v>54</v>
      </c>
      <c r="C11" s="70" t="s">
        <v>67</v>
      </c>
      <c r="D11" s="69"/>
      <c r="E11" s="70" t="s">
        <v>109</v>
      </c>
      <c r="F11" s="70"/>
      <c r="G11" s="70"/>
      <c r="H11" s="71">
        <v>43460</v>
      </c>
      <c r="I11" s="71"/>
    </row>
    <row r="12" spans="1:9" ht="60" x14ac:dyDescent="0.25">
      <c r="A12" s="18">
        <f t="shared" si="0"/>
        <v>9</v>
      </c>
      <c r="B12" s="9" t="s">
        <v>55</v>
      </c>
      <c r="C12" s="4" t="s">
        <v>68</v>
      </c>
      <c r="D12" s="9"/>
      <c r="E12" s="3" t="s">
        <v>109</v>
      </c>
      <c r="F12" s="3"/>
      <c r="G12" s="3"/>
      <c r="H12" s="8">
        <v>43460</v>
      </c>
      <c r="I12" s="8"/>
    </row>
    <row r="13" spans="1:9" ht="30" x14ac:dyDescent="0.25">
      <c r="A13" s="18">
        <f t="shared" si="0"/>
        <v>10</v>
      </c>
      <c r="B13" s="9" t="s">
        <v>59</v>
      </c>
      <c r="C13" s="3" t="s">
        <v>70</v>
      </c>
      <c r="D13" s="9"/>
      <c r="E13" s="3" t="s">
        <v>109</v>
      </c>
      <c r="F13" s="3"/>
      <c r="G13" s="3"/>
      <c r="H13" s="8">
        <v>43460</v>
      </c>
      <c r="I13" s="8"/>
    </row>
    <row r="14" spans="1:9" ht="124.5" customHeight="1" x14ac:dyDescent="0.25">
      <c r="A14" s="18">
        <f t="shared" si="0"/>
        <v>11</v>
      </c>
      <c r="B14" s="9" t="s">
        <v>57</v>
      </c>
      <c r="C14" s="160" t="s">
        <v>215</v>
      </c>
      <c r="D14" s="9"/>
      <c r="E14" s="3" t="s">
        <v>109</v>
      </c>
      <c r="F14" s="3"/>
      <c r="G14" s="3"/>
      <c r="H14" s="8">
        <v>43460</v>
      </c>
      <c r="I14" s="8"/>
    </row>
    <row r="15" spans="1:9" ht="124.5" customHeight="1" x14ac:dyDescent="0.25">
      <c r="A15" s="18">
        <f t="shared" si="0"/>
        <v>12</v>
      </c>
      <c r="B15" s="9" t="s">
        <v>60</v>
      </c>
      <c r="C15" s="161"/>
      <c r="D15" s="9"/>
      <c r="E15" s="3" t="s">
        <v>109</v>
      </c>
      <c r="F15" s="3"/>
      <c r="G15" s="3"/>
      <c r="H15" s="8">
        <v>43460</v>
      </c>
      <c r="I15" s="8"/>
    </row>
    <row r="16" spans="1:9" ht="45" x14ac:dyDescent="0.25">
      <c r="A16" s="18">
        <f t="shared" si="0"/>
        <v>13</v>
      </c>
      <c r="B16" s="9" t="s">
        <v>58</v>
      </c>
      <c r="C16" s="4" t="s">
        <v>69</v>
      </c>
      <c r="D16" s="9"/>
      <c r="E16" s="3" t="s">
        <v>109</v>
      </c>
      <c r="F16" s="3"/>
      <c r="G16" s="3"/>
      <c r="H16" s="8">
        <v>43460</v>
      </c>
      <c r="I16" s="8"/>
    </row>
    <row r="17" spans="1:9" ht="109.5" customHeight="1" x14ac:dyDescent="0.25">
      <c r="A17" s="18">
        <f t="shared" si="0"/>
        <v>14</v>
      </c>
      <c r="B17" s="157" t="s">
        <v>94</v>
      </c>
      <c r="C17" s="162" t="s">
        <v>96</v>
      </c>
      <c r="D17" s="11" t="s">
        <v>95</v>
      </c>
      <c r="E17" s="8"/>
      <c r="F17" s="3" t="s">
        <v>93</v>
      </c>
      <c r="G17" s="3"/>
      <c r="H17" s="8">
        <v>43462</v>
      </c>
      <c r="I17" s="8" t="s">
        <v>108</v>
      </c>
    </row>
    <row r="18" spans="1:9" ht="27" customHeight="1" x14ac:dyDescent="0.25">
      <c r="A18" s="18">
        <f t="shared" si="0"/>
        <v>15</v>
      </c>
      <c r="B18" s="158"/>
      <c r="C18" s="162"/>
      <c r="D18" s="3" t="s">
        <v>97</v>
      </c>
      <c r="E18" s="3" t="s">
        <v>109</v>
      </c>
      <c r="F18" s="3" t="s">
        <v>73</v>
      </c>
      <c r="G18" s="3"/>
      <c r="H18" s="8">
        <v>43462</v>
      </c>
      <c r="I18" s="8"/>
    </row>
    <row r="19" spans="1:9" ht="90" x14ac:dyDescent="0.25">
      <c r="A19" s="18">
        <f t="shared" si="0"/>
        <v>16</v>
      </c>
      <c r="B19" s="9" t="s">
        <v>143</v>
      </c>
      <c r="C19" s="4" t="s">
        <v>144</v>
      </c>
      <c r="D19" s="9"/>
      <c r="E19" s="3" t="s">
        <v>109</v>
      </c>
      <c r="F19" s="3"/>
      <c r="G19" s="3"/>
      <c r="H19" s="8">
        <v>43473</v>
      </c>
      <c r="I19" s="8"/>
    </row>
    <row r="20" spans="1:9" ht="45" x14ac:dyDescent="0.25">
      <c r="A20" s="18">
        <f t="shared" si="0"/>
        <v>17</v>
      </c>
      <c r="B20" s="9" t="s">
        <v>51</v>
      </c>
      <c r="C20" s="21" t="s">
        <v>105</v>
      </c>
      <c r="D20" s="9"/>
      <c r="E20" s="3"/>
      <c r="F20" s="3"/>
      <c r="G20" s="3"/>
      <c r="H20" s="22" t="s">
        <v>110</v>
      </c>
      <c r="I20" s="8"/>
    </row>
    <row r="21" spans="1:9" ht="45" x14ac:dyDescent="0.25">
      <c r="A21" s="18">
        <f t="shared" si="0"/>
        <v>18</v>
      </c>
      <c r="B21" s="9" t="s">
        <v>223</v>
      </c>
      <c r="C21" s="4" t="s">
        <v>222</v>
      </c>
      <c r="D21" s="9"/>
      <c r="E21" s="3"/>
      <c r="F21" s="3"/>
      <c r="G21" s="3"/>
      <c r="H21" s="8"/>
      <c r="I21" s="8"/>
    </row>
    <row r="22" spans="1:9" ht="30" x14ac:dyDescent="0.25">
      <c r="A22" s="18">
        <f t="shared" si="0"/>
        <v>19</v>
      </c>
      <c r="B22" s="9" t="s">
        <v>52</v>
      </c>
      <c r="C22" s="4"/>
      <c r="D22" s="9"/>
      <c r="E22" s="3"/>
      <c r="F22" s="3"/>
      <c r="G22" s="3"/>
      <c r="H22" s="8" t="s">
        <v>233</v>
      </c>
      <c r="I22" s="8"/>
    </row>
  </sheetData>
  <autoFilter ref="A2:I20"/>
  <mergeCells count="7">
    <mergeCell ref="A1:H1"/>
    <mergeCell ref="C14:C15"/>
    <mergeCell ref="C17:C18"/>
    <mergeCell ref="B17:B18"/>
    <mergeCell ref="B4:B5"/>
    <mergeCell ref="B9:B10"/>
    <mergeCell ref="A9:A10"/>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zoomScale="115" zoomScaleNormal="115" workbookViewId="0">
      <pane xSplit="2" ySplit="2" topLeftCell="C3" activePane="bottomRight" state="frozen"/>
      <selection activeCell="G8" sqref="G8"/>
      <selection pane="topRight" activeCell="G8" sqref="G8"/>
      <selection pane="bottomLeft" activeCell="G8" sqref="G8"/>
      <selection pane="bottomRight" activeCell="D9" sqref="D9"/>
    </sheetView>
  </sheetViews>
  <sheetFormatPr defaultColWidth="8.85546875" defaultRowHeight="15" x14ac:dyDescent="0.25"/>
  <cols>
    <col min="1" max="1" width="6" style="1" customWidth="1"/>
    <col min="2" max="2" width="21.42578125" style="1" customWidth="1"/>
    <col min="3" max="3" width="46.140625" style="1" customWidth="1"/>
    <col min="4" max="4" width="37.85546875" style="1" customWidth="1"/>
    <col min="5" max="5" width="16.140625" style="98" customWidth="1"/>
    <col min="6" max="6" width="11" style="1" hidden="1" customWidth="1"/>
    <col min="7" max="7" width="12.5703125" style="1" hidden="1" customWidth="1"/>
    <col min="8" max="8" width="19.42578125" style="1" hidden="1" customWidth="1"/>
    <col min="9" max="9" width="31.5703125" style="1" customWidth="1"/>
    <col min="10" max="16384" width="8.85546875" style="1"/>
  </cols>
  <sheetData>
    <row r="1" spans="1:9" ht="21.75" customHeight="1" x14ac:dyDescent="0.25">
      <c r="A1" s="159" t="s">
        <v>64</v>
      </c>
      <c r="B1" s="143"/>
      <c r="C1" s="143"/>
      <c r="D1" s="143"/>
      <c r="E1" s="143"/>
      <c r="F1" s="143"/>
      <c r="G1" s="143"/>
      <c r="H1" s="143"/>
    </row>
    <row r="2" spans="1:9" ht="29.25" customHeight="1" x14ac:dyDescent="0.25">
      <c r="A2" s="2" t="s">
        <v>61</v>
      </c>
      <c r="B2" s="2" t="s">
        <v>62</v>
      </c>
      <c r="C2" s="2" t="s">
        <v>83</v>
      </c>
      <c r="D2" s="2" t="s">
        <v>71</v>
      </c>
      <c r="E2" s="96" t="s">
        <v>72</v>
      </c>
      <c r="F2" s="2" t="s">
        <v>84</v>
      </c>
      <c r="G2" s="2" t="s">
        <v>86</v>
      </c>
      <c r="H2" s="2" t="s">
        <v>106</v>
      </c>
      <c r="I2" s="2" t="s">
        <v>287</v>
      </c>
    </row>
    <row r="3" spans="1:9" s="95" customFormat="1" ht="44.25" customHeight="1" x14ac:dyDescent="0.2">
      <c r="A3" s="101">
        <v>1</v>
      </c>
      <c r="B3" s="91" t="s">
        <v>63</v>
      </c>
      <c r="C3" s="92" t="s">
        <v>65</v>
      </c>
      <c r="D3" s="91"/>
      <c r="E3" s="94"/>
      <c r="F3" s="92"/>
      <c r="G3" s="92"/>
      <c r="H3" s="94">
        <v>43460</v>
      </c>
      <c r="I3" s="94"/>
    </row>
    <row r="4" spans="1:9" s="72" customFormat="1" ht="45" x14ac:dyDescent="0.25">
      <c r="A4" s="74"/>
      <c r="B4" s="69" t="s">
        <v>331</v>
      </c>
      <c r="C4" s="69" t="s">
        <v>323</v>
      </c>
      <c r="D4" s="70" t="s">
        <v>324</v>
      </c>
      <c r="E4" s="71">
        <v>43535</v>
      </c>
      <c r="F4" s="70"/>
      <c r="G4" s="70"/>
      <c r="H4" s="71"/>
      <c r="I4" s="71"/>
    </row>
    <row r="5" spans="1:9" s="72" customFormat="1" x14ac:dyDescent="0.25">
      <c r="A5" s="74"/>
      <c r="B5" s="69" t="s">
        <v>78</v>
      </c>
      <c r="C5" s="70" t="s">
        <v>326</v>
      </c>
      <c r="D5" s="69" t="s">
        <v>325</v>
      </c>
      <c r="E5" s="71"/>
      <c r="F5" s="70"/>
      <c r="G5" s="70"/>
      <c r="H5" s="71"/>
      <c r="I5" s="71"/>
    </row>
    <row r="6" spans="1:9" s="72" customFormat="1" ht="45" x14ac:dyDescent="0.25">
      <c r="A6" s="74"/>
      <c r="B6" s="69" t="s">
        <v>78</v>
      </c>
      <c r="C6" s="70" t="s">
        <v>327</v>
      </c>
      <c r="D6" s="69" t="s">
        <v>325</v>
      </c>
      <c r="E6" s="71"/>
      <c r="F6" s="70"/>
      <c r="G6" s="70"/>
      <c r="H6" s="71"/>
      <c r="I6" s="71"/>
    </row>
    <row r="7" spans="1:9" s="72" customFormat="1" ht="30" x14ac:dyDescent="0.25">
      <c r="A7" s="74"/>
      <c r="B7" s="69" t="s">
        <v>78</v>
      </c>
      <c r="C7" s="70" t="s">
        <v>329</v>
      </c>
      <c r="D7" s="69" t="s">
        <v>330</v>
      </c>
      <c r="E7" s="71"/>
      <c r="F7" s="70"/>
      <c r="G7" s="70"/>
      <c r="H7" s="71"/>
      <c r="I7" s="71"/>
    </row>
    <row r="8" spans="1:9" s="72" customFormat="1" ht="35.25" customHeight="1" x14ac:dyDescent="0.25">
      <c r="A8" s="74"/>
      <c r="B8" s="69" t="s">
        <v>332</v>
      </c>
      <c r="C8" s="68" t="s">
        <v>333</v>
      </c>
      <c r="D8" s="69"/>
      <c r="E8" s="71">
        <v>43535</v>
      </c>
      <c r="F8" s="70"/>
      <c r="G8" s="70"/>
      <c r="H8" s="71"/>
      <c r="I8" s="71" t="s">
        <v>108</v>
      </c>
    </row>
    <row r="9" spans="1:9" s="72" customFormat="1" ht="35.25" customHeight="1" x14ac:dyDescent="0.25">
      <c r="A9" s="74"/>
      <c r="B9" s="69" t="s">
        <v>332</v>
      </c>
      <c r="C9" s="68" t="s">
        <v>335</v>
      </c>
      <c r="D9" s="69"/>
      <c r="E9" s="71">
        <v>43535</v>
      </c>
      <c r="F9" s="70"/>
      <c r="G9" s="70"/>
      <c r="H9" s="71"/>
      <c r="I9" s="71" t="s">
        <v>108</v>
      </c>
    </row>
    <row r="10" spans="1:9" s="72" customFormat="1" ht="33.75" customHeight="1" x14ac:dyDescent="0.25">
      <c r="A10" s="74"/>
      <c r="B10" s="69" t="s">
        <v>78</v>
      </c>
      <c r="C10" s="68" t="s">
        <v>334</v>
      </c>
      <c r="D10" s="69"/>
      <c r="E10" s="71">
        <v>43535</v>
      </c>
      <c r="F10" s="70"/>
      <c r="G10" s="70"/>
      <c r="H10" s="71"/>
      <c r="I10" s="71" t="s">
        <v>108</v>
      </c>
    </row>
    <row r="11" spans="1:9" s="72" customFormat="1" ht="44.25" customHeight="1" x14ac:dyDescent="0.25">
      <c r="A11" s="74"/>
      <c r="B11" s="69" t="s">
        <v>78</v>
      </c>
      <c r="C11" s="70" t="s">
        <v>328</v>
      </c>
      <c r="D11" s="99"/>
      <c r="E11" s="100">
        <v>43531</v>
      </c>
      <c r="F11" s="70"/>
      <c r="G11" s="70"/>
      <c r="H11" s="71"/>
      <c r="I11" s="71" t="s">
        <v>108</v>
      </c>
    </row>
    <row r="12" spans="1:9" s="72" customFormat="1" ht="60" customHeight="1" x14ac:dyDescent="0.25">
      <c r="A12" s="74">
        <f>A3+1</f>
        <v>2</v>
      </c>
      <c r="B12" s="69" t="s">
        <v>54</v>
      </c>
      <c r="C12" s="70" t="s">
        <v>67</v>
      </c>
      <c r="D12" s="69" t="s">
        <v>307</v>
      </c>
      <c r="E12" s="71">
        <v>43532</v>
      </c>
      <c r="F12" s="70"/>
      <c r="G12" s="70"/>
      <c r="H12" s="71">
        <v>43460</v>
      </c>
      <c r="I12" s="71" t="s">
        <v>367</v>
      </c>
    </row>
    <row r="13" spans="1:9" s="72" customFormat="1" ht="120" customHeight="1" x14ac:dyDescent="0.25">
      <c r="A13" s="78">
        <f>A12+1</f>
        <v>3</v>
      </c>
      <c r="B13" s="75" t="s">
        <v>288</v>
      </c>
      <c r="C13" s="79" t="s">
        <v>289</v>
      </c>
      <c r="D13" s="84" t="s">
        <v>308</v>
      </c>
      <c r="E13" s="71" t="s">
        <v>355</v>
      </c>
      <c r="F13" s="70"/>
      <c r="G13" s="70"/>
      <c r="H13" s="71"/>
      <c r="I13" s="71" t="s">
        <v>365</v>
      </c>
    </row>
    <row r="14" spans="1:9" s="72" customFormat="1" ht="166.5" customHeight="1" x14ac:dyDescent="0.25">
      <c r="A14" s="163">
        <f>A13+1</f>
        <v>4</v>
      </c>
      <c r="B14" s="166" t="s">
        <v>56</v>
      </c>
      <c r="C14" s="68" t="s">
        <v>66</v>
      </c>
      <c r="D14" s="69" t="s">
        <v>310</v>
      </c>
      <c r="E14" s="71">
        <v>43532</v>
      </c>
      <c r="F14" s="70"/>
      <c r="G14" s="70"/>
      <c r="H14" s="71">
        <v>43460</v>
      </c>
      <c r="I14" s="110" t="s">
        <v>361</v>
      </c>
    </row>
    <row r="15" spans="1:9" s="72" customFormat="1" ht="129" customHeight="1" x14ac:dyDescent="0.25">
      <c r="A15" s="164"/>
      <c r="B15" s="167"/>
      <c r="C15" s="73" t="s">
        <v>175</v>
      </c>
      <c r="D15" s="69" t="s">
        <v>309</v>
      </c>
      <c r="E15" s="71">
        <v>43535</v>
      </c>
      <c r="F15" s="70"/>
      <c r="G15" s="70"/>
      <c r="H15" s="71"/>
      <c r="I15" s="70"/>
    </row>
    <row r="16" spans="1:9" s="72" customFormat="1" ht="50.25" customHeight="1" x14ac:dyDescent="0.25">
      <c r="A16" s="74">
        <f>A14+1</f>
        <v>5</v>
      </c>
      <c r="B16" s="69" t="s">
        <v>51</v>
      </c>
      <c r="C16" s="76" t="s">
        <v>105</v>
      </c>
      <c r="D16" s="69" t="s">
        <v>314</v>
      </c>
      <c r="E16" s="71">
        <v>43544</v>
      </c>
      <c r="F16" s="70"/>
      <c r="G16" s="70"/>
      <c r="H16" s="77" t="s">
        <v>110</v>
      </c>
      <c r="I16" s="71" t="s">
        <v>368</v>
      </c>
    </row>
    <row r="17" spans="1:9" s="72" customFormat="1" ht="50.25" customHeight="1" x14ac:dyDescent="0.25">
      <c r="A17" s="74">
        <f>A16+1</f>
        <v>6</v>
      </c>
      <c r="B17" s="75" t="s">
        <v>311</v>
      </c>
      <c r="C17" s="85" t="s">
        <v>312</v>
      </c>
      <c r="D17" s="69" t="s">
        <v>313</v>
      </c>
      <c r="E17" s="71">
        <v>43535</v>
      </c>
      <c r="F17" s="70"/>
      <c r="G17" s="70"/>
      <c r="H17" s="86"/>
      <c r="I17" s="71" t="s">
        <v>369</v>
      </c>
    </row>
    <row r="18" spans="1:9" s="72" customFormat="1" ht="75.75" customHeight="1" x14ac:dyDescent="0.25">
      <c r="A18" s="74">
        <f>A17+1</f>
        <v>7</v>
      </c>
      <c r="B18" s="75" t="s">
        <v>336</v>
      </c>
      <c r="C18" s="87" t="s">
        <v>315</v>
      </c>
      <c r="D18" s="69" t="s">
        <v>337</v>
      </c>
      <c r="E18" s="71">
        <v>43535</v>
      </c>
      <c r="F18" s="70"/>
      <c r="G18" s="70"/>
      <c r="H18" s="86"/>
      <c r="I18" s="71" t="s">
        <v>370</v>
      </c>
    </row>
    <row r="19" spans="1:9" s="72" customFormat="1" ht="50.25" customHeight="1" x14ac:dyDescent="0.25">
      <c r="A19" s="74">
        <f>A18+1</f>
        <v>8</v>
      </c>
      <c r="B19" s="75" t="s">
        <v>316</v>
      </c>
      <c r="C19" s="87"/>
      <c r="D19" s="69" t="s">
        <v>354</v>
      </c>
      <c r="E19" s="71" t="s">
        <v>362</v>
      </c>
      <c r="F19" s="70"/>
      <c r="G19" s="70"/>
      <c r="H19" s="86"/>
      <c r="I19" s="71" t="s">
        <v>370</v>
      </c>
    </row>
    <row r="20" spans="1:9" s="95" customFormat="1" ht="24.75" customHeight="1" x14ac:dyDescent="0.2">
      <c r="A20" s="88" t="s">
        <v>317</v>
      </c>
      <c r="B20" s="89" t="s">
        <v>163</v>
      </c>
      <c r="C20" s="90"/>
      <c r="D20" s="91"/>
      <c r="E20" s="94"/>
      <c r="F20" s="92"/>
      <c r="G20" s="92"/>
      <c r="H20" s="93"/>
      <c r="I20" s="94"/>
    </row>
    <row r="21" spans="1:9" s="72" customFormat="1" ht="27" customHeight="1" x14ac:dyDescent="0.25">
      <c r="A21" s="78"/>
      <c r="B21" s="75" t="s">
        <v>321</v>
      </c>
      <c r="C21" s="87" t="s">
        <v>322</v>
      </c>
      <c r="D21" s="69"/>
      <c r="E21" s="71"/>
      <c r="F21" s="70"/>
      <c r="G21" s="70"/>
      <c r="H21" s="86"/>
      <c r="I21" s="71"/>
    </row>
    <row r="22" spans="1:9" s="72" customFormat="1" ht="27" customHeight="1" x14ac:dyDescent="0.25">
      <c r="A22" s="78"/>
      <c r="B22" s="75" t="s">
        <v>319</v>
      </c>
      <c r="C22" s="87" t="s">
        <v>318</v>
      </c>
      <c r="D22" s="69"/>
      <c r="E22" s="71"/>
      <c r="F22" s="70"/>
      <c r="G22" s="70"/>
      <c r="H22" s="86"/>
      <c r="I22" s="71"/>
    </row>
    <row r="23" spans="1:9" s="72" customFormat="1" ht="64.5" customHeight="1" x14ac:dyDescent="0.25">
      <c r="A23" s="78"/>
      <c r="B23" s="75" t="s">
        <v>320</v>
      </c>
      <c r="C23" s="87" t="s">
        <v>363</v>
      </c>
      <c r="D23" s="69"/>
      <c r="E23" s="71"/>
      <c r="F23" s="70"/>
      <c r="G23" s="70"/>
      <c r="H23" s="86"/>
      <c r="I23" s="71"/>
    </row>
    <row r="24" spans="1:9" ht="201.75" customHeight="1" x14ac:dyDescent="0.25">
      <c r="A24" s="137">
        <f>A16+1</f>
        <v>6</v>
      </c>
      <c r="B24" s="157" t="s">
        <v>227</v>
      </c>
      <c r="C24" s="4" t="s">
        <v>226</v>
      </c>
      <c r="D24" s="66"/>
      <c r="E24" s="8"/>
      <c r="F24" s="3"/>
      <c r="G24" s="3"/>
      <c r="H24" s="8">
        <v>43479</v>
      </c>
      <c r="I24" s="8"/>
    </row>
    <row r="25" spans="1:9" ht="27" customHeight="1" x14ac:dyDescent="0.25">
      <c r="A25" s="139"/>
      <c r="B25" s="158"/>
      <c r="C25" s="3" t="s">
        <v>212</v>
      </c>
      <c r="D25" s="66"/>
      <c r="E25" s="8"/>
      <c r="F25" s="3"/>
      <c r="G25" s="3"/>
      <c r="H25" s="8">
        <v>43479</v>
      </c>
      <c r="I25" s="8"/>
    </row>
    <row r="26" spans="1:9" s="5" customFormat="1" ht="30" x14ac:dyDescent="0.25">
      <c r="A26" s="64">
        <f>A24+1</f>
        <v>7</v>
      </c>
      <c r="B26" s="26" t="s">
        <v>229</v>
      </c>
      <c r="C26" s="20" t="s">
        <v>221</v>
      </c>
      <c r="D26" s="66"/>
      <c r="E26" s="8"/>
      <c r="F26" s="19"/>
      <c r="G26" s="25"/>
      <c r="H26" s="8">
        <v>43479</v>
      </c>
      <c r="I26" s="25"/>
    </row>
    <row r="27" spans="1:9" ht="124.5" customHeight="1" x14ac:dyDescent="0.25">
      <c r="A27" s="64">
        <f t="shared" ref="A27" si="0">A26+1</f>
        <v>8</v>
      </c>
      <c r="B27" s="66" t="s">
        <v>57</v>
      </c>
      <c r="C27" s="160" t="s">
        <v>215</v>
      </c>
      <c r="D27" s="66"/>
      <c r="E27" s="8"/>
      <c r="F27" s="3"/>
      <c r="G27" s="3"/>
      <c r="H27" s="8">
        <v>43460</v>
      </c>
      <c r="I27" s="8"/>
    </row>
    <row r="28" spans="1:9" ht="124.5" customHeight="1" x14ac:dyDescent="0.25">
      <c r="A28" s="64">
        <f>A27+1</f>
        <v>9</v>
      </c>
      <c r="B28" s="66" t="s">
        <v>60</v>
      </c>
      <c r="C28" s="161"/>
      <c r="D28" s="66"/>
      <c r="E28" s="8"/>
      <c r="F28" s="3"/>
      <c r="G28" s="3"/>
      <c r="H28" s="8">
        <v>43460</v>
      </c>
      <c r="I28" s="8"/>
    </row>
    <row r="29" spans="1:9" x14ac:dyDescent="0.25">
      <c r="A29" s="64">
        <f>A28+1</f>
        <v>10</v>
      </c>
      <c r="B29" s="66" t="s">
        <v>228</v>
      </c>
      <c r="C29" s="3" t="s">
        <v>225</v>
      </c>
      <c r="D29" s="66"/>
      <c r="E29" s="8"/>
      <c r="F29" s="3"/>
      <c r="G29" s="3"/>
      <c r="H29" s="8">
        <v>43479</v>
      </c>
      <c r="I29" s="8"/>
    </row>
    <row r="30" spans="1:9" ht="60" x14ac:dyDescent="0.25">
      <c r="A30" s="64">
        <f>A29+1</f>
        <v>11</v>
      </c>
      <c r="B30" s="66" t="s">
        <v>231</v>
      </c>
      <c r="C30" s="3" t="s">
        <v>230</v>
      </c>
      <c r="D30" s="66"/>
      <c r="E30" s="8"/>
      <c r="F30" s="3"/>
      <c r="G30" s="3"/>
      <c r="H30" s="8">
        <v>43479</v>
      </c>
      <c r="I30" s="8"/>
    </row>
    <row r="31" spans="1:9" ht="60" x14ac:dyDescent="0.25">
      <c r="A31" s="64">
        <f>A30+1</f>
        <v>12</v>
      </c>
      <c r="B31" s="66" t="s">
        <v>55</v>
      </c>
      <c r="C31" s="4" t="s">
        <v>68</v>
      </c>
      <c r="D31" s="66" t="s">
        <v>352</v>
      </c>
      <c r="E31" s="8"/>
      <c r="F31" s="3"/>
      <c r="G31" s="3"/>
      <c r="H31" s="8">
        <v>43460</v>
      </c>
      <c r="I31" s="8"/>
    </row>
    <row r="32" spans="1:9" ht="30" x14ac:dyDescent="0.25">
      <c r="A32" s="64">
        <f t="shared" ref="A32" si="1">A31+1</f>
        <v>13</v>
      </c>
      <c r="B32" s="66" t="s">
        <v>59</v>
      </c>
      <c r="C32" s="3" t="s">
        <v>70</v>
      </c>
      <c r="D32" s="66"/>
      <c r="E32" s="8"/>
      <c r="F32" s="3"/>
      <c r="G32" s="3"/>
      <c r="H32" s="8">
        <v>43460</v>
      </c>
      <c r="I32" s="8"/>
    </row>
    <row r="33" spans="1:9" ht="45" x14ac:dyDescent="0.25">
      <c r="A33" s="64">
        <f>A32+1</f>
        <v>14</v>
      </c>
      <c r="B33" s="66" t="s">
        <v>58</v>
      </c>
      <c r="C33" s="4" t="s">
        <v>69</v>
      </c>
      <c r="D33" s="66"/>
      <c r="E33" s="8"/>
      <c r="F33" s="3"/>
      <c r="G33" s="3"/>
      <c r="H33" s="8">
        <v>43460</v>
      </c>
      <c r="I33" s="8"/>
    </row>
    <row r="34" spans="1:9" ht="109.5" customHeight="1" x14ac:dyDescent="0.25">
      <c r="A34" s="137">
        <f>A33+1</f>
        <v>15</v>
      </c>
      <c r="B34" s="157" t="s">
        <v>94</v>
      </c>
      <c r="C34" s="162" t="s">
        <v>96</v>
      </c>
      <c r="D34" s="65" t="s">
        <v>95</v>
      </c>
      <c r="E34" s="8"/>
      <c r="F34" s="3" t="s">
        <v>93</v>
      </c>
      <c r="G34" s="3"/>
      <c r="H34" s="8">
        <v>43462</v>
      </c>
      <c r="I34" s="8" t="s">
        <v>108</v>
      </c>
    </row>
    <row r="35" spans="1:9" ht="27" customHeight="1" x14ac:dyDescent="0.25">
      <c r="A35" s="139"/>
      <c r="B35" s="158"/>
      <c r="C35" s="162"/>
      <c r="D35" s="3" t="s">
        <v>97</v>
      </c>
      <c r="E35" s="8"/>
      <c r="F35" s="3" t="s">
        <v>73</v>
      </c>
      <c r="G35" s="3"/>
      <c r="H35" s="8">
        <v>43462</v>
      </c>
      <c r="I35" s="8"/>
    </row>
    <row r="36" spans="1:9" ht="90" x14ac:dyDescent="0.25">
      <c r="A36" s="137">
        <f>A34+1</f>
        <v>16</v>
      </c>
      <c r="B36" s="66" t="s">
        <v>143</v>
      </c>
      <c r="C36" s="4" t="s">
        <v>144</v>
      </c>
      <c r="D36" s="66"/>
      <c r="E36" s="8"/>
      <c r="F36" s="3"/>
      <c r="G36" s="3"/>
      <c r="H36" s="8">
        <v>43473</v>
      </c>
      <c r="I36" s="8"/>
    </row>
    <row r="37" spans="1:9" ht="45" x14ac:dyDescent="0.25">
      <c r="A37" s="139"/>
      <c r="B37" s="66" t="s">
        <v>223</v>
      </c>
      <c r="C37" s="4" t="s">
        <v>222</v>
      </c>
      <c r="D37" s="66"/>
      <c r="E37" s="8"/>
      <c r="F37" s="3"/>
      <c r="G37" s="3"/>
      <c r="H37" s="8"/>
      <c r="I37" s="8"/>
    </row>
    <row r="38" spans="1:9" ht="30" x14ac:dyDescent="0.25">
      <c r="A38" s="64">
        <f>A36+1</f>
        <v>17</v>
      </c>
      <c r="B38" s="66" t="s">
        <v>290</v>
      </c>
      <c r="C38" s="4"/>
      <c r="D38" s="66"/>
      <c r="E38" s="8"/>
      <c r="F38" s="3"/>
      <c r="G38" s="3"/>
      <c r="H38" s="8" t="s">
        <v>233</v>
      </c>
      <c r="I38" s="8"/>
    </row>
    <row r="40" spans="1:9" ht="30" x14ac:dyDescent="0.25">
      <c r="B40" s="83" t="s">
        <v>284</v>
      </c>
      <c r="C40" s="82" t="s">
        <v>306</v>
      </c>
      <c r="D40" s="82" t="s">
        <v>301</v>
      </c>
      <c r="E40" s="97" t="s">
        <v>302</v>
      </c>
      <c r="F40" s="165" t="s">
        <v>303</v>
      </c>
      <c r="G40" s="165"/>
      <c r="H40" s="1" t="s">
        <v>304</v>
      </c>
      <c r="I40" s="1" t="s">
        <v>305</v>
      </c>
    </row>
  </sheetData>
  <autoFilter ref="A2:I38"/>
  <mergeCells count="11">
    <mergeCell ref="A36:A37"/>
    <mergeCell ref="F40:G40"/>
    <mergeCell ref="A1:H1"/>
    <mergeCell ref="B24:B25"/>
    <mergeCell ref="A14:A15"/>
    <mergeCell ref="B14:B15"/>
    <mergeCell ref="C27:C28"/>
    <mergeCell ref="B34:B35"/>
    <mergeCell ref="C34:C35"/>
    <mergeCell ref="A34:A35"/>
    <mergeCell ref="A24:A2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6"/>
  <sheetViews>
    <sheetView workbookViewId="0">
      <selection sqref="A1:XFD1048576"/>
    </sheetView>
  </sheetViews>
  <sheetFormatPr defaultRowHeight="15" x14ac:dyDescent="0.25"/>
  <cols>
    <col min="1" max="1" width="14.42578125" style="120" customWidth="1"/>
    <col min="2" max="2" width="39.42578125" customWidth="1"/>
    <col min="3" max="3" width="15.7109375" customWidth="1"/>
    <col min="4" max="4" width="19.28515625" customWidth="1"/>
    <col min="5" max="5" width="43.42578125" bestFit="1" customWidth="1"/>
    <col min="250" max="250" width="11" bestFit="1" customWidth="1"/>
    <col min="251" max="251" width="28.140625" customWidth="1"/>
    <col min="252" max="252" width="21.85546875" customWidth="1"/>
    <col min="253" max="253" width="12.5703125" customWidth="1"/>
    <col min="254" max="254" width="28.140625" customWidth="1"/>
    <col min="255" max="255" width="15.85546875" customWidth="1"/>
    <col min="256" max="256" width="15.7109375" customWidth="1"/>
    <col min="257" max="257" width="19.28515625" customWidth="1"/>
    <col min="258" max="258" width="43.42578125" bestFit="1" customWidth="1"/>
    <col min="259" max="259" width="12.5703125" customWidth="1"/>
    <col min="260" max="260" width="15.140625" customWidth="1"/>
    <col min="261" max="261" width="13" customWidth="1"/>
    <col min="506" max="506" width="11" bestFit="1" customWidth="1"/>
    <col min="507" max="507" width="28.140625" customWidth="1"/>
    <col min="508" max="508" width="21.85546875" customWidth="1"/>
    <col min="509" max="509" width="12.5703125" customWidth="1"/>
    <col min="510" max="510" width="28.140625" customWidth="1"/>
    <col min="511" max="511" width="15.85546875" customWidth="1"/>
    <col min="512" max="512" width="15.7109375" customWidth="1"/>
    <col min="513" max="513" width="19.28515625" customWidth="1"/>
    <col min="514" max="514" width="43.42578125" bestFit="1" customWidth="1"/>
    <col min="515" max="515" width="12.5703125" customWidth="1"/>
    <col min="516" max="516" width="15.140625" customWidth="1"/>
    <col min="517" max="517" width="13" customWidth="1"/>
    <col min="762" max="762" width="11" bestFit="1" customWidth="1"/>
    <col min="763" max="763" width="28.140625" customWidth="1"/>
    <col min="764" max="764" width="21.85546875" customWidth="1"/>
    <col min="765" max="765" width="12.5703125" customWidth="1"/>
    <col min="766" max="766" width="28.140625" customWidth="1"/>
    <col min="767" max="767" width="15.85546875" customWidth="1"/>
    <col min="768" max="768" width="15.7109375" customWidth="1"/>
    <col min="769" max="769" width="19.28515625" customWidth="1"/>
    <col min="770" max="770" width="43.42578125" bestFit="1" customWidth="1"/>
    <col min="771" max="771" width="12.5703125" customWidth="1"/>
    <col min="772" max="772" width="15.140625" customWidth="1"/>
    <col min="773" max="773" width="13" customWidth="1"/>
    <col min="1018" max="1018" width="11" bestFit="1" customWidth="1"/>
    <col min="1019" max="1019" width="28.140625" customWidth="1"/>
    <col min="1020" max="1020" width="21.85546875" customWidth="1"/>
    <col min="1021" max="1021" width="12.5703125" customWidth="1"/>
    <col min="1022" max="1022" width="28.140625" customWidth="1"/>
    <col min="1023" max="1023" width="15.85546875" customWidth="1"/>
    <col min="1024" max="1024" width="15.7109375" customWidth="1"/>
    <col min="1025" max="1025" width="19.28515625" customWidth="1"/>
    <col min="1026" max="1026" width="43.42578125" bestFit="1" customWidth="1"/>
    <col min="1027" max="1027" width="12.5703125" customWidth="1"/>
    <col min="1028" max="1028" width="15.140625" customWidth="1"/>
    <col min="1029" max="1029" width="13" customWidth="1"/>
    <col min="1274" max="1274" width="11" bestFit="1" customWidth="1"/>
    <col min="1275" max="1275" width="28.140625" customWidth="1"/>
    <col min="1276" max="1276" width="21.85546875" customWidth="1"/>
    <col min="1277" max="1277" width="12.5703125" customWidth="1"/>
    <col min="1278" max="1278" width="28.140625" customWidth="1"/>
    <col min="1279" max="1279" width="15.85546875" customWidth="1"/>
    <col min="1280" max="1280" width="15.7109375" customWidth="1"/>
    <col min="1281" max="1281" width="19.28515625" customWidth="1"/>
    <col min="1282" max="1282" width="43.42578125" bestFit="1" customWidth="1"/>
    <col min="1283" max="1283" width="12.5703125" customWidth="1"/>
    <col min="1284" max="1284" width="15.140625" customWidth="1"/>
    <col min="1285" max="1285" width="13" customWidth="1"/>
    <col min="1530" max="1530" width="11" bestFit="1" customWidth="1"/>
    <col min="1531" max="1531" width="28.140625" customWidth="1"/>
    <col min="1532" max="1532" width="21.85546875" customWidth="1"/>
    <col min="1533" max="1533" width="12.5703125" customWidth="1"/>
    <col min="1534" max="1534" width="28.140625" customWidth="1"/>
    <col min="1535" max="1535" width="15.85546875" customWidth="1"/>
    <col min="1536" max="1536" width="15.7109375" customWidth="1"/>
    <col min="1537" max="1537" width="19.28515625" customWidth="1"/>
    <col min="1538" max="1538" width="43.42578125" bestFit="1" customWidth="1"/>
    <col min="1539" max="1539" width="12.5703125" customWidth="1"/>
    <col min="1540" max="1540" width="15.140625" customWidth="1"/>
    <col min="1541" max="1541" width="13" customWidth="1"/>
    <col min="1786" max="1786" width="11" bestFit="1" customWidth="1"/>
    <col min="1787" max="1787" width="28.140625" customWidth="1"/>
    <col min="1788" max="1788" width="21.85546875" customWidth="1"/>
    <col min="1789" max="1789" width="12.5703125" customWidth="1"/>
    <col min="1790" max="1790" width="28.140625" customWidth="1"/>
    <col min="1791" max="1791" width="15.85546875" customWidth="1"/>
    <col min="1792" max="1792" width="15.7109375" customWidth="1"/>
    <col min="1793" max="1793" width="19.28515625" customWidth="1"/>
    <col min="1794" max="1794" width="43.42578125" bestFit="1" customWidth="1"/>
    <col min="1795" max="1795" width="12.5703125" customWidth="1"/>
    <col min="1796" max="1796" width="15.140625" customWidth="1"/>
    <col min="1797" max="1797" width="13" customWidth="1"/>
    <col min="2042" max="2042" width="11" bestFit="1" customWidth="1"/>
    <col min="2043" max="2043" width="28.140625" customWidth="1"/>
    <col min="2044" max="2044" width="21.85546875" customWidth="1"/>
    <col min="2045" max="2045" width="12.5703125" customWidth="1"/>
    <col min="2046" max="2046" width="28.140625" customWidth="1"/>
    <col min="2047" max="2047" width="15.85546875" customWidth="1"/>
    <col min="2048" max="2048" width="15.7109375" customWidth="1"/>
    <col min="2049" max="2049" width="19.28515625" customWidth="1"/>
    <col min="2050" max="2050" width="43.42578125" bestFit="1" customWidth="1"/>
    <col min="2051" max="2051" width="12.5703125" customWidth="1"/>
    <col min="2052" max="2052" width="15.140625" customWidth="1"/>
    <col min="2053" max="2053" width="13" customWidth="1"/>
    <col min="2298" max="2298" width="11" bestFit="1" customWidth="1"/>
    <col min="2299" max="2299" width="28.140625" customWidth="1"/>
    <col min="2300" max="2300" width="21.85546875" customWidth="1"/>
    <col min="2301" max="2301" width="12.5703125" customWidth="1"/>
    <col min="2302" max="2302" width="28.140625" customWidth="1"/>
    <col min="2303" max="2303" width="15.85546875" customWidth="1"/>
    <col min="2304" max="2304" width="15.7109375" customWidth="1"/>
    <col min="2305" max="2305" width="19.28515625" customWidth="1"/>
    <col min="2306" max="2306" width="43.42578125" bestFit="1" customWidth="1"/>
    <col min="2307" max="2307" width="12.5703125" customWidth="1"/>
    <col min="2308" max="2308" width="15.140625" customWidth="1"/>
    <col min="2309" max="2309" width="13" customWidth="1"/>
    <col min="2554" max="2554" width="11" bestFit="1" customWidth="1"/>
    <col min="2555" max="2555" width="28.140625" customWidth="1"/>
    <col min="2556" max="2556" width="21.85546875" customWidth="1"/>
    <col min="2557" max="2557" width="12.5703125" customWidth="1"/>
    <col min="2558" max="2558" width="28.140625" customWidth="1"/>
    <col min="2559" max="2559" width="15.85546875" customWidth="1"/>
    <col min="2560" max="2560" width="15.7109375" customWidth="1"/>
    <col min="2561" max="2561" width="19.28515625" customWidth="1"/>
    <col min="2562" max="2562" width="43.42578125" bestFit="1" customWidth="1"/>
    <col min="2563" max="2563" width="12.5703125" customWidth="1"/>
    <col min="2564" max="2564" width="15.140625" customWidth="1"/>
    <col min="2565" max="2565" width="13" customWidth="1"/>
    <col min="2810" max="2810" width="11" bestFit="1" customWidth="1"/>
    <col min="2811" max="2811" width="28.140625" customWidth="1"/>
    <col min="2812" max="2812" width="21.85546875" customWidth="1"/>
    <col min="2813" max="2813" width="12.5703125" customWidth="1"/>
    <col min="2814" max="2814" width="28.140625" customWidth="1"/>
    <col min="2815" max="2815" width="15.85546875" customWidth="1"/>
    <col min="2816" max="2816" width="15.7109375" customWidth="1"/>
    <col min="2817" max="2817" width="19.28515625" customWidth="1"/>
    <col min="2818" max="2818" width="43.42578125" bestFit="1" customWidth="1"/>
    <col min="2819" max="2819" width="12.5703125" customWidth="1"/>
    <col min="2820" max="2820" width="15.140625" customWidth="1"/>
    <col min="2821" max="2821" width="13" customWidth="1"/>
    <col min="3066" max="3066" width="11" bestFit="1" customWidth="1"/>
    <col min="3067" max="3067" width="28.140625" customWidth="1"/>
    <col min="3068" max="3068" width="21.85546875" customWidth="1"/>
    <col min="3069" max="3069" width="12.5703125" customWidth="1"/>
    <col min="3070" max="3070" width="28.140625" customWidth="1"/>
    <col min="3071" max="3071" width="15.85546875" customWidth="1"/>
    <col min="3072" max="3072" width="15.7109375" customWidth="1"/>
    <col min="3073" max="3073" width="19.28515625" customWidth="1"/>
    <col min="3074" max="3074" width="43.42578125" bestFit="1" customWidth="1"/>
    <col min="3075" max="3075" width="12.5703125" customWidth="1"/>
    <col min="3076" max="3076" width="15.140625" customWidth="1"/>
    <col min="3077" max="3077" width="13" customWidth="1"/>
    <col min="3322" max="3322" width="11" bestFit="1" customWidth="1"/>
    <col min="3323" max="3323" width="28.140625" customWidth="1"/>
    <col min="3324" max="3324" width="21.85546875" customWidth="1"/>
    <col min="3325" max="3325" width="12.5703125" customWidth="1"/>
    <col min="3326" max="3326" width="28.140625" customWidth="1"/>
    <col min="3327" max="3327" width="15.85546875" customWidth="1"/>
    <col min="3328" max="3328" width="15.7109375" customWidth="1"/>
    <col min="3329" max="3329" width="19.28515625" customWidth="1"/>
    <col min="3330" max="3330" width="43.42578125" bestFit="1" customWidth="1"/>
    <col min="3331" max="3331" width="12.5703125" customWidth="1"/>
    <col min="3332" max="3332" width="15.140625" customWidth="1"/>
    <col min="3333" max="3333" width="13" customWidth="1"/>
    <col min="3578" max="3578" width="11" bestFit="1" customWidth="1"/>
    <col min="3579" max="3579" width="28.140625" customWidth="1"/>
    <col min="3580" max="3580" width="21.85546875" customWidth="1"/>
    <col min="3581" max="3581" width="12.5703125" customWidth="1"/>
    <col min="3582" max="3582" width="28.140625" customWidth="1"/>
    <col min="3583" max="3583" width="15.85546875" customWidth="1"/>
    <col min="3584" max="3584" width="15.7109375" customWidth="1"/>
    <col min="3585" max="3585" width="19.28515625" customWidth="1"/>
    <col min="3586" max="3586" width="43.42578125" bestFit="1" customWidth="1"/>
    <col min="3587" max="3587" width="12.5703125" customWidth="1"/>
    <col min="3588" max="3588" width="15.140625" customWidth="1"/>
    <col min="3589" max="3589" width="13" customWidth="1"/>
    <col min="3834" max="3834" width="11" bestFit="1" customWidth="1"/>
    <col min="3835" max="3835" width="28.140625" customWidth="1"/>
    <col min="3836" max="3836" width="21.85546875" customWidth="1"/>
    <col min="3837" max="3837" width="12.5703125" customWidth="1"/>
    <col min="3838" max="3838" width="28.140625" customWidth="1"/>
    <col min="3839" max="3839" width="15.85546875" customWidth="1"/>
    <col min="3840" max="3840" width="15.7109375" customWidth="1"/>
    <col min="3841" max="3841" width="19.28515625" customWidth="1"/>
    <col min="3842" max="3842" width="43.42578125" bestFit="1" customWidth="1"/>
    <col min="3843" max="3843" width="12.5703125" customWidth="1"/>
    <col min="3844" max="3844" width="15.140625" customWidth="1"/>
    <col min="3845" max="3845" width="13" customWidth="1"/>
    <col min="4090" max="4090" width="11" bestFit="1" customWidth="1"/>
    <col min="4091" max="4091" width="28.140625" customWidth="1"/>
    <col min="4092" max="4092" width="21.85546875" customWidth="1"/>
    <col min="4093" max="4093" width="12.5703125" customWidth="1"/>
    <col min="4094" max="4094" width="28.140625" customWidth="1"/>
    <col min="4095" max="4095" width="15.85546875" customWidth="1"/>
    <col min="4096" max="4096" width="15.7109375" customWidth="1"/>
    <col min="4097" max="4097" width="19.28515625" customWidth="1"/>
    <col min="4098" max="4098" width="43.42578125" bestFit="1" customWidth="1"/>
    <col min="4099" max="4099" width="12.5703125" customWidth="1"/>
    <col min="4100" max="4100" width="15.140625" customWidth="1"/>
    <col min="4101" max="4101" width="13" customWidth="1"/>
    <col min="4346" max="4346" width="11" bestFit="1" customWidth="1"/>
    <col min="4347" max="4347" width="28.140625" customWidth="1"/>
    <col min="4348" max="4348" width="21.85546875" customWidth="1"/>
    <col min="4349" max="4349" width="12.5703125" customWidth="1"/>
    <col min="4350" max="4350" width="28.140625" customWidth="1"/>
    <col min="4351" max="4351" width="15.85546875" customWidth="1"/>
    <col min="4352" max="4352" width="15.7109375" customWidth="1"/>
    <col min="4353" max="4353" width="19.28515625" customWidth="1"/>
    <col min="4354" max="4354" width="43.42578125" bestFit="1" customWidth="1"/>
    <col min="4355" max="4355" width="12.5703125" customWidth="1"/>
    <col min="4356" max="4356" width="15.140625" customWidth="1"/>
    <col min="4357" max="4357" width="13" customWidth="1"/>
    <col min="4602" max="4602" width="11" bestFit="1" customWidth="1"/>
    <col min="4603" max="4603" width="28.140625" customWidth="1"/>
    <col min="4604" max="4604" width="21.85546875" customWidth="1"/>
    <col min="4605" max="4605" width="12.5703125" customWidth="1"/>
    <col min="4606" max="4606" width="28.140625" customWidth="1"/>
    <col min="4607" max="4607" width="15.85546875" customWidth="1"/>
    <col min="4608" max="4608" width="15.7109375" customWidth="1"/>
    <col min="4609" max="4609" width="19.28515625" customWidth="1"/>
    <col min="4610" max="4610" width="43.42578125" bestFit="1" customWidth="1"/>
    <col min="4611" max="4611" width="12.5703125" customWidth="1"/>
    <col min="4612" max="4612" width="15.140625" customWidth="1"/>
    <col min="4613" max="4613" width="13" customWidth="1"/>
    <col min="4858" max="4858" width="11" bestFit="1" customWidth="1"/>
    <col min="4859" max="4859" width="28.140625" customWidth="1"/>
    <col min="4860" max="4860" width="21.85546875" customWidth="1"/>
    <col min="4861" max="4861" width="12.5703125" customWidth="1"/>
    <col min="4862" max="4862" width="28.140625" customWidth="1"/>
    <col min="4863" max="4863" width="15.85546875" customWidth="1"/>
    <col min="4864" max="4864" width="15.7109375" customWidth="1"/>
    <col min="4865" max="4865" width="19.28515625" customWidth="1"/>
    <col min="4866" max="4866" width="43.42578125" bestFit="1" customWidth="1"/>
    <col min="4867" max="4867" width="12.5703125" customWidth="1"/>
    <col min="4868" max="4868" width="15.140625" customWidth="1"/>
    <col min="4869" max="4869" width="13" customWidth="1"/>
    <col min="5114" max="5114" width="11" bestFit="1" customWidth="1"/>
    <col min="5115" max="5115" width="28.140625" customWidth="1"/>
    <col min="5116" max="5116" width="21.85546875" customWidth="1"/>
    <col min="5117" max="5117" width="12.5703125" customWidth="1"/>
    <col min="5118" max="5118" width="28.140625" customWidth="1"/>
    <col min="5119" max="5119" width="15.85546875" customWidth="1"/>
    <col min="5120" max="5120" width="15.7109375" customWidth="1"/>
    <col min="5121" max="5121" width="19.28515625" customWidth="1"/>
    <col min="5122" max="5122" width="43.42578125" bestFit="1" customWidth="1"/>
    <col min="5123" max="5123" width="12.5703125" customWidth="1"/>
    <col min="5124" max="5124" width="15.140625" customWidth="1"/>
    <col min="5125" max="5125" width="13" customWidth="1"/>
    <col min="5370" max="5370" width="11" bestFit="1" customWidth="1"/>
    <col min="5371" max="5371" width="28.140625" customWidth="1"/>
    <col min="5372" max="5372" width="21.85546875" customWidth="1"/>
    <col min="5373" max="5373" width="12.5703125" customWidth="1"/>
    <col min="5374" max="5374" width="28.140625" customWidth="1"/>
    <col min="5375" max="5375" width="15.85546875" customWidth="1"/>
    <col min="5376" max="5376" width="15.7109375" customWidth="1"/>
    <col min="5377" max="5377" width="19.28515625" customWidth="1"/>
    <col min="5378" max="5378" width="43.42578125" bestFit="1" customWidth="1"/>
    <col min="5379" max="5379" width="12.5703125" customWidth="1"/>
    <col min="5380" max="5380" width="15.140625" customWidth="1"/>
    <col min="5381" max="5381" width="13" customWidth="1"/>
    <col min="5626" max="5626" width="11" bestFit="1" customWidth="1"/>
    <col min="5627" max="5627" width="28.140625" customWidth="1"/>
    <col min="5628" max="5628" width="21.85546875" customWidth="1"/>
    <col min="5629" max="5629" width="12.5703125" customWidth="1"/>
    <col min="5630" max="5630" width="28.140625" customWidth="1"/>
    <col min="5631" max="5631" width="15.85546875" customWidth="1"/>
    <col min="5632" max="5632" width="15.7109375" customWidth="1"/>
    <col min="5633" max="5633" width="19.28515625" customWidth="1"/>
    <col min="5634" max="5634" width="43.42578125" bestFit="1" customWidth="1"/>
    <col min="5635" max="5635" width="12.5703125" customWidth="1"/>
    <col min="5636" max="5636" width="15.140625" customWidth="1"/>
    <col min="5637" max="5637" width="13" customWidth="1"/>
    <col min="5882" max="5882" width="11" bestFit="1" customWidth="1"/>
    <col min="5883" max="5883" width="28.140625" customWidth="1"/>
    <col min="5884" max="5884" width="21.85546875" customWidth="1"/>
    <col min="5885" max="5885" width="12.5703125" customWidth="1"/>
    <col min="5886" max="5886" width="28.140625" customWidth="1"/>
    <col min="5887" max="5887" width="15.85546875" customWidth="1"/>
    <col min="5888" max="5888" width="15.7109375" customWidth="1"/>
    <col min="5889" max="5889" width="19.28515625" customWidth="1"/>
    <col min="5890" max="5890" width="43.42578125" bestFit="1" customWidth="1"/>
    <col min="5891" max="5891" width="12.5703125" customWidth="1"/>
    <col min="5892" max="5892" width="15.140625" customWidth="1"/>
    <col min="5893" max="5893" width="13" customWidth="1"/>
    <col min="6138" max="6138" width="11" bestFit="1" customWidth="1"/>
    <col min="6139" max="6139" width="28.140625" customWidth="1"/>
    <col min="6140" max="6140" width="21.85546875" customWidth="1"/>
    <col min="6141" max="6141" width="12.5703125" customWidth="1"/>
    <col min="6142" max="6142" width="28.140625" customWidth="1"/>
    <col min="6143" max="6143" width="15.85546875" customWidth="1"/>
    <col min="6144" max="6144" width="15.7109375" customWidth="1"/>
    <col min="6145" max="6145" width="19.28515625" customWidth="1"/>
    <col min="6146" max="6146" width="43.42578125" bestFit="1" customWidth="1"/>
    <col min="6147" max="6147" width="12.5703125" customWidth="1"/>
    <col min="6148" max="6148" width="15.140625" customWidth="1"/>
    <col min="6149" max="6149" width="13" customWidth="1"/>
    <col min="6394" max="6394" width="11" bestFit="1" customWidth="1"/>
    <col min="6395" max="6395" width="28.140625" customWidth="1"/>
    <col min="6396" max="6396" width="21.85546875" customWidth="1"/>
    <col min="6397" max="6397" width="12.5703125" customWidth="1"/>
    <col min="6398" max="6398" width="28.140625" customWidth="1"/>
    <col min="6399" max="6399" width="15.85546875" customWidth="1"/>
    <col min="6400" max="6400" width="15.7109375" customWidth="1"/>
    <col min="6401" max="6401" width="19.28515625" customWidth="1"/>
    <col min="6402" max="6402" width="43.42578125" bestFit="1" customWidth="1"/>
    <col min="6403" max="6403" width="12.5703125" customWidth="1"/>
    <col min="6404" max="6404" width="15.140625" customWidth="1"/>
    <col min="6405" max="6405" width="13" customWidth="1"/>
    <col min="6650" max="6650" width="11" bestFit="1" customWidth="1"/>
    <col min="6651" max="6651" width="28.140625" customWidth="1"/>
    <col min="6652" max="6652" width="21.85546875" customWidth="1"/>
    <col min="6653" max="6653" width="12.5703125" customWidth="1"/>
    <col min="6654" max="6654" width="28.140625" customWidth="1"/>
    <col min="6655" max="6655" width="15.85546875" customWidth="1"/>
    <col min="6656" max="6656" width="15.7109375" customWidth="1"/>
    <col min="6657" max="6657" width="19.28515625" customWidth="1"/>
    <col min="6658" max="6658" width="43.42578125" bestFit="1" customWidth="1"/>
    <col min="6659" max="6659" width="12.5703125" customWidth="1"/>
    <col min="6660" max="6660" width="15.140625" customWidth="1"/>
    <col min="6661" max="6661" width="13" customWidth="1"/>
    <col min="6906" max="6906" width="11" bestFit="1" customWidth="1"/>
    <col min="6907" max="6907" width="28.140625" customWidth="1"/>
    <col min="6908" max="6908" width="21.85546875" customWidth="1"/>
    <col min="6909" max="6909" width="12.5703125" customWidth="1"/>
    <col min="6910" max="6910" width="28.140625" customWidth="1"/>
    <col min="6911" max="6911" width="15.85546875" customWidth="1"/>
    <col min="6912" max="6912" width="15.7109375" customWidth="1"/>
    <col min="6913" max="6913" width="19.28515625" customWidth="1"/>
    <col min="6914" max="6914" width="43.42578125" bestFit="1" customWidth="1"/>
    <col min="6915" max="6915" width="12.5703125" customWidth="1"/>
    <col min="6916" max="6916" width="15.140625" customWidth="1"/>
    <col min="6917" max="6917" width="13" customWidth="1"/>
    <col min="7162" max="7162" width="11" bestFit="1" customWidth="1"/>
    <col min="7163" max="7163" width="28.140625" customWidth="1"/>
    <col min="7164" max="7164" width="21.85546875" customWidth="1"/>
    <col min="7165" max="7165" width="12.5703125" customWidth="1"/>
    <col min="7166" max="7166" width="28.140625" customWidth="1"/>
    <col min="7167" max="7167" width="15.85546875" customWidth="1"/>
    <col min="7168" max="7168" width="15.7109375" customWidth="1"/>
    <col min="7169" max="7169" width="19.28515625" customWidth="1"/>
    <col min="7170" max="7170" width="43.42578125" bestFit="1" customWidth="1"/>
    <col min="7171" max="7171" width="12.5703125" customWidth="1"/>
    <col min="7172" max="7172" width="15.140625" customWidth="1"/>
    <col min="7173" max="7173" width="13" customWidth="1"/>
    <col min="7418" max="7418" width="11" bestFit="1" customWidth="1"/>
    <col min="7419" max="7419" width="28.140625" customWidth="1"/>
    <col min="7420" max="7420" width="21.85546875" customWidth="1"/>
    <col min="7421" max="7421" width="12.5703125" customWidth="1"/>
    <col min="7422" max="7422" width="28.140625" customWidth="1"/>
    <col min="7423" max="7423" width="15.85546875" customWidth="1"/>
    <col min="7424" max="7424" width="15.7109375" customWidth="1"/>
    <col min="7425" max="7425" width="19.28515625" customWidth="1"/>
    <col min="7426" max="7426" width="43.42578125" bestFit="1" customWidth="1"/>
    <col min="7427" max="7427" width="12.5703125" customWidth="1"/>
    <col min="7428" max="7428" width="15.140625" customWidth="1"/>
    <col min="7429" max="7429" width="13" customWidth="1"/>
    <col min="7674" max="7674" width="11" bestFit="1" customWidth="1"/>
    <col min="7675" max="7675" width="28.140625" customWidth="1"/>
    <col min="7676" max="7676" width="21.85546875" customWidth="1"/>
    <col min="7677" max="7677" width="12.5703125" customWidth="1"/>
    <col min="7678" max="7678" width="28.140625" customWidth="1"/>
    <col min="7679" max="7679" width="15.85546875" customWidth="1"/>
    <col min="7680" max="7680" width="15.7109375" customWidth="1"/>
    <col min="7681" max="7681" width="19.28515625" customWidth="1"/>
    <col min="7682" max="7682" width="43.42578125" bestFit="1" customWidth="1"/>
    <col min="7683" max="7683" width="12.5703125" customWidth="1"/>
    <col min="7684" max="7684" width="15.140625" customWidth="1"/>
    <col min="7685" max="7685" width="13" customWidth="1"/>
    <col min="7930" max="7930" width="11" bestFit="1" customWidth="1"/>
    <col min="7931" max="7931" width="28.140625" customWidth="1"/>
    <col min="7932" max="7932" width="21.85546875" customWidth="1"/>
    <col min="7933" max="7933" width="12.5703125" customWidth="1"/>
    <col min="7934" max="7934" width="28.140625" customWidth="1"/>
    <col min="7935" max="7935" width="15.85546875" customWidth="1"/>
    <col min="7936" max="7936" width="15.7109375" customWidth="1"/>
    <col min="7937" max="7937" width="19.28515625" customWidth="1"/>
    <col min="7938" max="7938" width="43.42578125" bestFit="1" customWidth="1"/>
    <col min="7939" max="7939" width="12.5703125" customWidth="1"/>
    <col min="7940" max="7940" width="15.140625" customWidth="1"/>
    <col min="7941" max="7941" width="13" customWidth="1"/>
    <col min="8186" max="8186" width="11" bestFit="1" customWidth="1"/>
    <col min="8187" max="8187" width="28.140625" customWidth="1"/>
    <col min="8188" max="8188" width="21.85546875" customWidth="1"/>
    <col min="8189" max="8189" width="12.5703125" customWidth="1"/>
    <col min="8190" max="8190" width="28.140625" customWidth="1"/>
    <col min="8191" max="8191" width="15.85546875" customWidth="1"/>
    <col min="8192" max="8192" width="15.7109375" customWidth="1"/>
    <col min="8193" max="8193" width="19.28515625" customWidth="1"/>
    <col min="8194" max="8194" width="43.42578125" bestFit="1" customWidth="1"/>
    <col min="8195" max="8195" width="12.5703125" customWidth="1"/>
    <col min="8196" max="8196" width="15.140625" customWidth="1"/>
    <col min="8197" max="8197" width="13" customWidth="1"/>
    <col min="8442" max="8442" width="11" bestFit="1" customWidth="1"/>
    <col min="8443" max="8443" width="28.140625" customWidth="1"/>
    <col min="8444" max="8444" width="21.85546875" customWidth="1"/>
    <col min="8445" max="8445" width="12.5703125" customWidth="1"/>
    <col min="8446" max="8446" width="28.140625" customWidth="1"/>
    <col min="8447" max="8447" width="15.85546875" customWidth="1"/>
    <col min="8448" max="8448" width="15.7109375" customWidth="1"/>
    <col min="8449" max="8449" width="19.28515625" customWidth="1"/>
    <col min="8450" max="8450" width="43.42578125" bestFit="1" customWidth="1"/>
    <col min="8451" max="8451" width="12.5703125" customWidth="1"/>
    <col min="8452" max="8452" width="15.140625" customWidth="1"/>
    <col min="8453" max="8453" width="13" customWidth="1"/>
    <col min="8698" max="8698" width="11" bestFit="1" customWidth="1"/>
    <col min="8699" max="8699" width="28.140625" customWidth="1"/>
    <col min="8700" max="8700" width="21.85546875" customWidth="1"/>
    <col min="8701" max="8701" width="12.5703125" customWidth="1"/>
    <col min="8702" max="8702" width="28.140625" customWidth="1"/>
    <col min="8703" max="8703" width="15.85546875" customWidth="1"/>
    <col min="8704" max="8704" width="15.7109375" customWidth="1"/>
    <col min="8705" max="8705" width="19.28515625" customWidth="1"/>
    <col min="8706" max="8706" width="43.42578125" bestFit="1" customWidth="1"/>
    <col min="8707" max="8707" width="12.5703125" customWidth="1"/>
    <col min="8708" max="8708" width="15.140625" customWidth="1"/>
    <col min="8709" max="8709" width="13" customWidth="1"/>
    <col min="8954" max="8954" width="11" bestFit="1" customWidth="1"/>
    <col min="8955" max="8955" width="28.140625" customWidth="1"/>
    <col min="8956" max="8956" width="21.85546875" customWidth="1"/>
    <col min="8957" max="8957" width="12.5703125" customWidth="1"/>
    <col min="8958" max="8958" width="28.140625" customWidth="1"/>
    <col min="8959" max="8959" width="15.85546875" customWidth="1"/>
    <col min="8960" max="8960" width="15.7109375" customWidth="1"/>
    <col min="8961" max="8961" width="19.28515625" customWidth="1"/>
    <col min="8962" max="8962" width="43.42578125" bestFit="1" customWidth="1"/>
    <col min="8963" max="8963" width="12.5703125" customWidth="1"/>
    <col min="8964" max="8964" width="15.140625" customWidth="1"/>
    <col min="8965" max="8965" width="13" customWidth="1"/>
    <col min="9210" max="9210" width="11" bestFit="1" customWidth="1"/>
    <col min="9211" max="9211" width="28.140625" customWidth="1"/>
    <col min="9212" max="9212" width="21.85546875" customWidth="1"/>
    <col min="9213" max="9213" width="12.5703125" customWidth="1"/>
    <col min="9214" max="9214" width="28.140625" customWidth="1"/>
    <col min="9215" max="9215" width="15.85546875" customWidth="1"/>
    <col min="9216" max="9216" width="15.7109375" customWidth="1"/>
    <col min="9217" max="9217" width="19.28515625" customWidth="1"/>
    <col min="9218" max="9218" width="43.42578125" bestFit="1" customWidth="1"/>
    <col min="9219" max="9219" width="12.5703125" customWidth="1"/>
    <col min="9220" max="9220" width="15.140625" customWidth="1"/>
    <col min="9221" max="9221" width="13" customWidth="1"/>
    <col min="9466" max="9466" width="11" bestFit="1" customWidth="1"/>
    <col min="9467" max="9467" width="28.140625" customWidth="1"/>
    <col min="9468" max="9468" width="21.85546875" customWidth="1"/>
    <col min="9469" max="9469" width="12.5703125" customWidth="1"/>
    <col min="9470" max="9470" width="28.140625" customWidth="1"/>
    <col min="9471" max="9471" width="15.85546875" customWidth="1"/>
    <col min="9472" max="9472" width="15.7109375" customWidth="1"/>
    <col min="9473" max="9473" width="19.28515625" customWidth="1"/>
    <col min="9474" max="9474" width="43.42578125" bestFit="1" customWidth="1"/>
    <col min="9475" max="9475" width="12.5703125" customWidth="1"/>
    <col min="9476" max="9476" width="15.140625" customWidth="1"/>
    <col min="9477" max="9477" width="13" customWidth="1"/>
    <col min="9722" max="9722" width="11" bestFit="1" customWidth="1"/>
    <col min="9723" max="9723" width="28.140625" customWidth="1"/>
    <col min="9724" max="9724" width="21.85546875" customWidth="1"/>
    <col min="9725" max="9725" width="12.5703125" customWidth="1"/>
    <col min="9726" max="9726" width="28.140625" customWidth="1"/>
    <col min="9727" max="9727" width="15.85546875" customWidth="1"/>
    <col min="9728" max="9728" width="15.7109375" customWidth="1"/>
    <col min="9729" max="9729" width="19.28515625" customWidth="1"/>
    <col min="9730" max="9730" width="43.42578125" bestFit="1" customWidth="1"/>
    <col min="9731" max="9731" width="12.5703125" customWidth="1"/>
    <col min="9732" max="9732" width="15.140625" customWidth="1"/>
    <col min="9733" max="9733" width="13" customWidth="1"/>
    <col min="9978" max="9978" width="11" bestFit="1" customWidth="1"/>
    <col min="9979" max="9979" width="28.140625" customWidth="1"/>
    <col min="9980" max="9980" width="21.85546875" customWidth="1"/>
    <col min="9981" max="9981" width="12.5703125" customWidth="1"/>
    <col min="9982" max="9982" width="28.140625" customWidth="1"/>
    <col min="9983" max="9983" width="15.85546875" customWidth="1"/>
    <col min="9984" max="9984" width="15.7109375" customWidth="1"/>
    <col min="9985" max="9985" width="19.28515625" customWidth="1"/>
    <col min="9986" max="9986" width="43.42578125" bestFit="1" customWidth="1"/>
    <col min="9987" max="9987" width="12.5703125" customWidth="1"/>
    <col min="9988" max="9988" width="15.140625" customWidth="1"/>
    <col min="9989" max="9989" width="13" customWidth="1"/>
    <col min="10234" max="10234" width="11" bestFit="1" customWidth="1"/>
    <col min="10235" max="10235" width="28.140625" customWidth="1"/>
    <col min="10236" max="10236" width="21.85546875" customWidth="1"/>
    <col min="10237" max="10237" width="12.5703125" customWidth="1"/>
    <col min="10238" max="10238" width="28.140625" customWidth="1"/>
    <col min="10239" max="10239" width="15.85546875" customWidth="1"/>
    <col min="10240" max="10240" width="15.7109375" customWidth="1"/>
    <col min="10241" max="10241" width="19.28515625" customWidth="1"/>
    <col min="10242" max="10242" width="43.42578125" bestFit="1" customWidth="1"/>
    <col min="10243" max="10243" width="12.5703125" customWidth="1"/>
    <col min="10244" max="10244" width="15.140625" customWidth="1"/>
    <col min="10245" max="10245" width="13" customWidth="1"/>
    <col min="10490" max="10490" width="11" bestFit="1" customWidth="1"/>
    <col min="10491" max="10491" width="28.140625" customWidth="1"/>
    <col min="10492" max="10492" width="21.85546875" customWidth="1"/>
    <col min="10493" max="10493" width="12.5703125" customWidth="1"/>
    <col min="10494" max="10494" width="28.140625" customWidth="1"/>
    <col min="10495" max="10495" width="15.85546875" customWidth="1"/>
    <col min="10496" max="10496" width="15.7109375" customWidth="1"/>
    <col min="10497" max="10497" width="19.28515625" customWidth="1"/>
    <col min="10498" max="10498" width="43.42578125" bestFit="1" customWidth="1"/>
    <col min="10499" max="10499" width="12.5703125" customWidth="1"/>
    <col min="10500" max="10500" width="15.140625" customWidth="1"/>
    <col min="10501" max="10501" width="13" customWidth="1"/>
    <col min="10746" max="10746" width="11" bestFit="1" customWidth="1"/>
    <col min="10747" max="10747" width="28.140625" customWidth="1"/>
    <col min="10748" max="10748" width="21.85546875" customWidth="1"/>
    <col min="10749" max="10749" width="12.5703125" customWidth="1"/>
    <col min="10750" max="10750" width="28.140625" customWidth="1"/>
    <col min="10751" max="10751" width="15.85546875" customWidth="1"/>
    <col min="10752" max="10752" width="15.7109375" customWidth="1"/>
    <col min="10753" max="10753" width="19.28515625" customWidth="1"/>
    <col min="10754" max="10754" width="43.42578125" bestFit="1" customWidth="1"/>
    <col min="10755" max="10755" width="12.5703125" customWidth="1"/>
    <col min="10756" max="10756" width="15.140625" customWidth="1"/>
    <col min="10757" max="10757" width="13" customWidth="1"/>
    <col min="11002" max="11002" width="11" bestFit="1" customWidth="1"/>
    <col min="11003" max="11003" width="28.140625" customWidth="1"/>
    <col min="11004" max="11004" width="21.85546875" customWidth="1"/>
    <col min="11005" max="11005" width="12.5703125" customWidth="1"/>
    <col min="11006" max="11006" width="28.140625" customWidth="1"/>
    <col min="11007" max="11007" width="15.85546875" customWidth="1"/>
    <col min="11008" max="11008" width="15.7109375" customWidth="1"/>
    <col min="11009" max="11009" width="19.28515625" customWidth="1"/>
    <col min="11010" max="11010" width="43.42578125" bestFit="1" customWidth="1"/>
    <col min="11011" max="11011" width="12.5703125" customWidth="1"/>
    <col min="11012" max="11012" width="15.140625" customWidth="1"/>
    <col min="11013" max="11013" width="13" customWidth="1"/>
    <col min="11258" max="11258" width="11" bestFit="1" customWidth="1"/>
    <col min="11259" max="11259" width="28.140625" customWidth="1"/>
    <col min="11260" max="11260" width="21.85546875" customWidth="1"/>
    <col min="11261" max="11261" width="12.5703125" customWidth="1"/>
    <col min="11262" max="11262" width="28.140625" customWidth="1"/>
    <col min="11263" max="11263" width="15.85546875" customWidth="1"/>
    <col min="11264" max="11264" width="15.7109375" customWidth="1"/>
    <col min="11265" max="11265" width="19.28515625" customWidth="1"/>
    <col min="11266" max="11266" width="43.42578125" bestFit="1" customWidth="1"/>
    <col min="11267" max="11267" width="12.5703125" customWidth="1"/>
    <col min="11268" max="11268" width="15.140625" customWidth="1"/>
    <col min="11269" max="11269" width="13" customWidth="1"/>
    <col min="11514" max="11514" width="11" bestFit="1" customWidth="1"/>
    <col min="11515" max="11515" width="28.140625" customWidth="1"/>
    <col min="11516" max="11516" width="21.85546875" customWidth="1"/>
    <col min="11517" max="11517" width="12.5703125" customWidth="1"/>
    <col min="11518" max="11518" width="28.140625" customWidth="1"/>
    <col min="11519" max="11519" width="15.85546875" customWidth="1"/>
    <col min="11520" max="11520" width="15.7109375" customWidth="1"/>
    <col min="11521" max="11521" width="19.28515625" customWidth="1"/>
    <col min="11522" max="11522" width="43.42578125" bestFit="1" customWidth="1"/>
    <col min="11523" max="11523" width="12.5703125" customWidth="1"/>
    <col min="11524" max="11524" width="15.140625" customWidth="1"/>
    <col min="11525" max="11525" width="13" customWidth="1"/>
    <col min="11770" max="11770" width="11" bestFit="1" customWidth="1"/>
    <col min="11771" max="11771" width="28.140625" customWidth="1"/>
    <col min="11772" max="11772" width="21.85546875" customWidth="1"/>
    <col min="11773" max="11773" width="12.5703125" customWidth="1"/>
    <col min="11774" max="11774" width="28.140625" customWidth="1"/>
    <col min="11775" max="11775" width="15.85546875" customWidth="1"/>
    <col min="11776" max="11776" width="15.7109375" customWidth="1"/>
    <col min="11777" max="11777" width="19.28515625" customWidth="1"/>
    <col min="11778" max="11778" width="43.42578125" bestFit="1" customWidth="1"/>
    <col min="11779" max="11779" width="12.5703125" customWidth="1"/>
    <col min="11780" max="11780" width="15.140625" customWidth="1"/>
    <col min="11781" max="11781" width="13" customWidth="1"/>
    <col min="12026" max="12026" width="11" bestFit="1" customWidth="1"/>
    <col min="12027" max="12027" width="28.140625" customWidth="1"/>
    <col min="12028" max="12028" width="21.85546875" customWidth="1"/>
    <col min="12029" max="12029" width="12.5703125" customWidth="1"/>
    <col min="12030" max="12030" width="28.140625" customWidth="1"/>
    <col min="12031" max="12031" width="15.85546875" customWidth="1"/>
    <col min="12032" max="12032" width="15.7109375" customWidth="1"/>
    <col min="12033" max="12033" width="19.28515625" customWidth="1"/>
    <col min="12034" max="12034" width="43.42578125" bestFit="1" customWidth="1"/>
    <col min="12035" max="12035" width="12.5703125" customWidth="1"/>
    <col min="12036" max="12036" width="15.140625" customWidth="1"/>
    <col min="12037" max="12037" width="13" customWidth="1"/>
    <col min="12282" max="12282" width="11" bestFit="1" customWidth="1"/>
    <col min="12283" max="12283" width="28.140625" customWidth="1"/>
    <col min="12284" max="12284" width="21.85546875" customWidth="1"/>
    <col min="12285" max="12285" width="12.5703125" customWidth="1"/>
    <col min="12286" max="12286" width="28.140625" customWidth="1"/>
    <col min="12287" max="12287" width="15.85546875" customWidth="1"/>
    <col min="12288" max="12288" width="15.7109375" customWidth="1"/>
    <col min="12289" max="12289" width="19.28515625" customWidth="1"/>
    <col min="12290" max="12290" width="43.42578125" bestFit="1" customWidth="1"/>
    <col min="12291" max="12291" width="12.5703125" customWidth="1"/>
    <col min="12292" max="12292" width="15.140625" customWidth="1"/>
    <col min="12293" max="12293" width="13" customWidth="1"/>
    <col min="12538" max="12538" width="11" bestFit="1" customWidth="1"/>
    <col min="12539" max="12539" width="28.140625" customWidth="1"/>
    <col min="12540" max="12540" width="21.85546875" customWidth="1"/>
    <col min="12541" max="12541" width="12.5703125" customWidth="1"/>
    <col min="12542" max="12542" width="28.140625" customWidth="1"/>
    <col min="12543" max="12543" width="15.85546875" customWidth="1"/>
    <col min="12544" max="12544" width="15.7109375" customWidth="1"/>
    <col min="12545" max="12545" width="19.28515625" customWidth="1"/>
    <col min="12546" max="12546" width="43.42578125" bestFit="1" customWidth="1"/>
    <col min="12547" max="12547" width="12.5703125" customWidth="1"/>
    <col min="12548" max="12548" width="15.140625" customWidth="1"/>
    <col min="12549" max="12549" width="13" customWidth="1"/>
    <col min="12794" max="12794" width="11" bestFit="1" customWidth="1"/>
    <col min="12795" max="12795" width="28.140625" customWidth="1"/>
    <col min="12796" max="12796" width="21.85546875" customWidth="1"/>
    <col min="12797" max="12797" width="12.5703125" customWidth="1"/>
    <col min="12798" max="12798" width="28.140625" customWidth="1"/>
    <col min="12799" max="12799" width="15.85546875" customWidth="1"/>
    <col min="12800" max="12800" width="15.7109375" customWidth="1"/>
    <col min="12801" max="12801" width="19.28515625" customWidth="1"/>
    <col min="12802" max="12802" width="43.42578125" bestFit="1" customWidth="1"/>
    <col min="12803" max="12803" width="12.5703125" customWidth="1"/>
    <col min="12804" max="12804" width="15.140625" customWidth="1"/>
    <col min="12805" max="12805" width="13" customWidth="1"/>
    <col min="13050" max="13050" width="11" bestFit="1" customWidth="1"/>
    <col min="13051" max="13051" width="28.140625" customWidth="1"/>
    <col min="13052" max="13052" width="21.85546875" customWidth="1"/>
    <col min="13053" max="13053" width="12.5703125" customWidth="1"/>
    <col min="13054" max="13054" width="28.140625" customWidth="1"/>
    <col min="13055" max="13055" width="15.85546875" customWidth="1"/>
    <col min="13056" max="13056" width="15.7109375" customWidth="1"/>
    <col min="13057" max="13057" width="19.28515625" customWidth="1"/>
    <col min="13058" max="13058" width="43.42578125" bestFit="1" customWidth="1"/>
    <col min="13059" max="13059" width="12.5703125" customWidth="1"/>
    <col min="13060" max="13060" width="15.140625" customWidth="1"/>
    <col min="13061" max="13061" width="13" customWidth="1"/>
    <col min="13306" max="13306" width="11" bestFit="1" customWidth="1"/>
    <col min="13307" max="13307" width="28.140625" customWidth="1"/>
    <col min="13308" max="13308" width="21.85546875" customWidth="1"/>
    <col min="13309" max="13309" width="12.5703125" customWidth="1"/>
    <col min="13310" max="13310" width="28.140625" customWidth="1"/>
    <col min="13311" max="13311" width="15.85546875" customWidth="1"/>
    <col min="13312" max="13312" width="15.7109375" customWidth="1"/>
    <col min="13313" max="13313" width="19.28515625" customWidth="1"/>
    <col min="13314" max="13314" width="43.42578125" bestFit="1" customWidth="1"/>
    <col min="13315" max="13315" width="12.5703125" customWidth="1"/>
    <col min="13316" max="13316" width="15.140625" customWidth="1"/>
    <col min="13317" max="13317" width="13" customWidth="1"/>
    <col min="13562" max="13562" width="11" bestFit="1" customWidth="1"/>
    <col min="13563" max="13563" width="28.140625" customWidth="1"/>
    <col min="13564" max="13564" width="21.85546875" customWidth="1"/>
    <col min="13565" max="13565" width="12.5703125" customWidth="1"/>
    <col min="13566" max="13566" width="28.140625" customWidth="1"/>
    <col min="13567" max="13567" width="15.85546875" customWidth="1"/>
    <col min="13568" max="13568" width="15.7109375" customWidth="1"/>
    <col min="13569" max="13569" width="19.28515625" customWidth="1"/>
    <col min="13570" max="13570" width="43.42578125" bestFit="1" customWidth="1"/>
    <col min="13571" max="13571" width="12.5703125" customWidth="1"/>
    <col min="13572" max="13572" width="15.140625" customWidth="1"/>
    <col min="13573" max="13573" width="13" customWidth="1"/>
    <col min="13818" max="13818" width="11" bestFit="1" customWidth="1"/>
    <col min="13819" max="13819" width="28.140625" customWidth="1"/>
    <col min="13820" max="13820" width="21.85546875" customWidth="1"/>
    <col min="13821" max="13821" width="12.5703125" customWidth="1"/>
    <col min="13822" max="13822" width="28.140625" customWidth="1"/>
    <col min="13823" max="13823" width="15.85546875" customWidth="1"/>
    <col min="13824" max="13824" width="15.7109375" customWidth="1"/>
    <col min="13825" max="13825" width="19.28515625" customWidth="1"/>
    <col min="13826" max="13826" width="43.42578125" bestFit="1" customWidth="1"/>
    <col min="13827" max="13827" width="12.5703125" customWidth="1"/>
    <col min="13828" max="13828" width="15.140625" customWidth="1"/>
    <col min="13829" max="13829" width="13" customWidth="1"/>
    <col min="14074" max="14074" width="11" bestFit="1" customWidth="1"/>
    <col min="14075" max="14075" width="28.140625" customWidth="1"/>
    <col min="14076" max="14076" width="21.85546875" customWidth="1"/>
    <col min="14077" max="14077" width="12.5703125" customWidth="1"/>
    <col min="14078" max="14078" width="28.140625" customWidth="1"/>
    <col min="14079" max="14079" width="15.85546875" customWidth="1"/>
    <col min="14080" max="14080" width="15.7109375" customWidth="1"/>
    <col min="14081" max="14081" width="19.28515625" customWidth="1"/>
    <col min="14082" max="14082" width="43.42578125" bestFit="1" customWidth="1"/>
    <col min="14083" max="14083" width="12.5703125" customWidth="1"/>
    <col min="14084" max="14084" width="15.140625" customWidth="1"/>
    <col min="14085" max="14085" width="13" customWidth="1"/>
    <col min="14330" max="14330" width="11" bestFit="1" customWidth="1"/>
    <col min="14331" max="14331" width="28.140625" customWidth="1"/>
    <col min="14332" max="14332" width="21.85546875" customWidth="1"/>
    <col min="14333" max="14333" width="12.5703125" customWidth="1"/>
    <col min="14334" max="14334" width="28.140625" customWidth="1"/>
    <col min="14335" max="14335" width="15.85546875" customWidth="1"/>
    <col min="14336" max="14336" width="15.7109375" customWidth="1"/>
    <col min="14337" max="14337" width="19.28515625" customWidth="1"/>
    <col min="14338" max="14338" width="43.42578125" bestFit="1" customWidth="1"/>
    <col min="14339" max="14339" width="12.5703125" customWidth="1"/>
    <col min="14340" max="14340" width="15.140625" customWidth="1"/>
    <col min="14341" max="14341" width="13" customWidth="1"/>
    <col min="14586" max="14586" width="11" bestFit="1" customWidth="1"/>
    <col min="14587" max="14587" width="28.140625" customWidth="1"/>
    <col min="14588" max="14588" width="21.85546875" customWidth="1"/>
    <col min="14589" max="14589" width="12.5703125" customWidth="1"/>
    <col min="14590" max="14590" width="28.140625" customWidth="1"/>
    <col min="14591" max="14591" width="15.85546875" customWidth="1"/>
    <col min="14592" max="14592" width="15.7109375" customWidth="1"/>
    <col min="14593" max="14593" width="19.28515625" customWidth="1"/>
    <col min="14594" max="14594" width="43.42578125" bestFit="1" customWidth="1"/>
    <col min="14595" max="14595" width="12.5703125" customWidth="1"/>
    <col min="14596" max="14596" width="15.140625" customWidth="1"/>
    <col min="14597" max="14597" width="13" customWidth="1"/>
    <col min="14842" max="14842" width="11" bestFit="1" customWidth="1"/>
    <col min="14843" max="14843" width="28.140625" customWidth="1"/>
    <col min="14844" max="14844" width="21.85546875" customWidth="1"/>
    <col min="14845" max="14845" width="12.5703125" customWidth="1"/>
    <col min="14846" max="14846" width="28.140625" customWidth="1"/>
    <col min="14847" max="14847" width="15.85546875" customWidth="1"/>
    <col min="14848" max="14848" width="15.7109375" customWidth="1"/>
    <col min="14849" max="14849" width="19.28515625" customWidth="1"/>
    <col min="14850" max="14850" width="43.42578125" bestFit="1" customWidth="1"/>
    <col min="14851" max="14851" width="12.5703125" customWidth="1"/>
    <col min="14852" max="14852" width="15.140625" customWidth="1"/>
    <col min="14853" max="14853" width="13" customWidth="1"/>
    <col min="15098" max="15098" width="11" bestFit="1" customWidth="1"/>
    <col min="15099" max="15099" width="28.140625" customWidth="1"/>
    <col min="15100" max="15100" width="21.85546875" customWidth="1"/>
    <col min="15101" max="15101" width="12.5703125" customWidth="1"/>
    <col min="15102" max="15102" width="28.140625" customWidth="1"/>
    <col min="15103" max="15103" width="15.85546875" customWidth="1"/>
    <col min="15104" max="15104" width="15.7109375" customWidth="1"/>
    <col min="15105" max="15105" width="19.28515625" customWidth="1"/>
    <col min="15106" max="15106" width="43.42578125" bestFit="1" customWidth="1"/>
    <col min="15107" max="15107" width="12.5703125" customWidth="1"/>
    <col min="15108" max="15108" width="15.140625" customWidth="1"/>
    <col min="15109" max="15109" width="13" customWidth="1"/>
    <col min="15354" max="15354" width="11" bestFit="1" customWidth="1"/>
    <col min="15355" max="15355" width="28.140625" customWidth="1"/>
    <col min="15356" max="15356" width="21.85546875" customWidth="1"/>
    <col min="15357" max="15357" width="12.5703125" customWidth="1"/>
    <col min="15358" max="15358" width="28.140625" customWidth="1"/>
    <col min="15359" max="15359" width="15.85546875" customWidth="1"/>
    <col min="15360" max="15360" width="15.7109375" customWidth="1"/>
    <col min="15361" max="15361" width="19.28515625" customWidth="1"/>
    <col min="15362" max="15362" width="43.42578125" bestFit="1" customWidth="1"/>
    <col min="15363" max="15363" width="12.5703125" customWidth="1"/>
    <col min="15364" max="15364" width="15.140625" customWidth="1"/>
    <col min="15365" max="15365" width="13" customWidth="1"/>
    <col min="15610" max="15610" width="11" bestFit="1" customWidth="1"/>
    <col min="15611" max="15611" width="28.140625" customWidth="1"/>
    <col min="15612" max="15612" width="21.85546875" customWidth="1"/>
    <col min="15613" max="15613" width="12.5703125" customWidth="1"/>
    <col min="15614" max="15614" width="28.140625" customWidth="1"/>
    <col min="15615" max="15615" width="15.85546875" customWidth="1"/>
    <col min="15616" max="15616" width="15.7109375" customWidth="1"/>
    <col min="15617" max="15617" width="19.28515625" customWidth="1"/>
    <col min="15618" max="15618" width="43.42578125" bestFit="1" customWidth="1"/>
    <col min="15619" max="15619" width="12.5703125" customWidth="1"/>
    <col min="15620" max="15620" width="15.140625" customWidth="1"/>
    <col min="15621" max="15621" width="13" customWidth="1"/>
    <col min="15866" max="15866" width="11" bestFit="1" customWidth="1"/>
    <col min="15867" max="15867" width="28.140625" customWidth="1"/>
    <col min="15868" max="15868" width="21.85546875" customWidth="1"/>
    <col min="15869" max="15869" width="12.5703125" customWidth="1"/>
    <col min="15870" max="15870" width="28.140625" customWidth="1"/>
    <col min="15871" max="15871" width="15.85546875" customWidth="1"/>
    <col min="15872" max="15872" width="15.7109375" customWidth="1"/>
    <col min="15873" max="15873" width="19.28515625" customWidth="1"/>
    <col min="15874" max="15874" width="43.42578125" bestFit="1" customWidth="1"/>
    <col min="15875" max="15875" width="12.5703125" customWidth="1"/>
    <col min="15876" max="15876" width="15.140625" customWidth="1"/>
    <col min="15877" max="15877" width="13" customWidth="1"/>
    <col min="16122" max="16122" width="11" bestFit="1" customWidth="1"/>
    <col min="16123" max="16123" width="28.140625" customWidth="1"/>
    <col min="16124" max="16124" width="21.85546875" customWidth="1"/>
    <col min="16125" max="16125" width="12.5703125" customWidth="1"/>
    <col min="16126" max="16126" width="28.140625" customWidth="1"/>
    <col min="16127" max="16127" width="15.85546875" customWidth="1"/>
    <col min="16128" max="16128" width="15.7109375" customWidth="1"/>
    <col min="16129" max="16129" width="19.28515625" customWidth="1"/>
    <col min="16130" max="16130" width="43.42578125" bestFit="1" customWidth="1"/>
    <col min="16131" max="16131" width="12.5703125" customWidth="1"/>
    <col min="16132" max="16132" width="15.140625" customWidth="1"/>
    <col min="16133" max="16133" width="13" customWidth="1"/>
  </cols>
  <sheetData>
    <row r="1" spans="1:58" ht="51.75" customHeight="1" x14ac:dyDescent="0.25">
      <c r="A1" s="169" t="s">
        <v>371</v>
      </c>
      <c r="B1" s="170"/>
      <c r="D1" s="169" t="s">
        <v>372</v>
      </c>
      <c r="E1" s="170"/>
    </row>
    <row r="2" spans="1:58" s="80" customFormat="1" x14ac:dyDescent="0.25">
      <c r="A2" s="111" t="s">
        <v>0</v>
      </c>
      <c r="B2" s="111" t="s">
        <v>373</v>
      </c>
      <c r="D2" s="111" t="s">
        <v>0</v>
      </c>
      <c r="E2" s="111" t="s">
        <v>373</v>
      </c>
    </row>
    <row r="3" spans="1:58" s="114" customFormat="1" ht="17.25" customHeight="1" x14ac:dyDescent="0.25">
      <c r="A3" s="171" t="s">
        <v>1</v>
      </c>
      <c r="B3" s="112" t="s">
        <v>2</v>
      </c>
      <c r="C3"/>
      <c r="D3" s="168" t="s">
        <v>374</v>
      </c>
      <c r="E3" s="113" t="s">
        <v>375</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row>
    <row r="4" spans="1:58" s="114" customFormat="1" x14ac:dyDescent="0.25">
      <c r="A4" s="171"/>
      <c r="B4" s="112" t="s">
        <v>376</v>
      </c>
      <c r="C4"/>
      <c r="D4" s="168"/>
      <c r="E4" s="113" t="s">
        <v>377</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row>
    <row r="5" spans="1:58" s="114" customFormat="1" x14ac:dyDescent="0.25">
      <c r="A5" s="171"/>
      <c r="B5" s="112" t="s">
        <v>378</v>
      </c>
      <c r="C5"/>
      <c r="D5" s="168" t="s">
        <v>14</v>
      </c>
      <c r="E5" s="113" t="s">
        <v>379</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row>
    <row r="6" spans="1:58" s="114" customFormat="1" x14ac:dyDescent="0.25">
      <c r="A6" s="171"/>
      <c r="B6" s="112" t="s">
        <v>380</v>
      </c>
      <c r="C6"/>
      <c r="D6" s="168"/>
      <c r="E6" s="113" t="s">
        <v>381</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row>
    <row r="7" spans="1:58" s="114" customFormat="1" x14ac:dyDescent="0.25">
      <c r="A7" s="171"/>
      <c r="B7" s="112" t="s">
        <v>382</v>
      </c>
      <c r="C7"/>
      <c r="D7" s="168"/>
      <c r="E7" s="113" t="s">
        <v>383</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row>
    <row r="8" spans="1:58" s="114" customFormat="1" x14ac:dyDescent="0.25">
      <c r="A8" s="171"/>
      <c r="B8" s="112" t="s">
        <v>384</v>
      </c>
      <c r="C8"/>
      <c r="D8" s="168"/>
      <c r="E8" s="113" t="s">
        <v>385</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row>
    <row r="9" spans="1:58" s="114" customFormat="1" x14ac:dyDescent="0.25">
      <c r="A9" s="171" t="s">
        <v>5</v>
      </c>
      <c r="B9" s="112" t="s">
        <v>386</v>
      </c>
      <c r="C9"/>
      <c r="D9" s="168"/>
      <c r="E9" s="115" t="s">
        <v>387</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row>
    <row r="10" spans="1:58" s="114" customFormat="1" x14ac:dyDescent="0.25">
      <c r="A10" s="171"/>
      <c r="B10" s="112" t="s">
        <v>388</v>
      </c>
      <c r="C10"/>
      <c r="D10" s="116" t="s">
        <v>94</v>
      </c>
      <c r="E10" s="113" t="s">
        <v>94</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row>
    <row r="11" spans="1:58" s="114" customFormat="1" x14ac:dyDescent="0.25">
      <c r="A11" s="171"/>
      <c r="B11" s="112" t="s">
        <v>389</v>
      </c>
      <c r="C11"/>
      <c r="D11" s="116" t="s">
        <v>1</v>
      </c>
      <c r="E11" s="113" t="s">
        <v>290</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row>
    <row r="12" spans="1:58" s="114" customFormat="1" x14ac:dyDescent="0.25">
      <c r="A12" s="171"/>
      <c r="B12" s="112" t="s">
        <v>390</v>
      </c>
      <c r="C12"/>
      <c r="D12" s="116" t="s">
        <v>391</v>
      </c>
      <c r="E12" s="113" t="s">
        <v>392</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row>
    <row r="13" spans="1:58" s="114" customFormat="1" x14ac:dyDescent="0.25">
      <c r="A13" s="171"/>
      <c r="B13" s="112" t="s">
        <v>393</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row>
    <row r="14" spans="1:58" s="114" customFormat="1" x14ac:dyDescent="0.25">
      <c r="A14" s="171"/>
      <c r="B14" s="112" t="s">
        <v>394</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row>
    <row r="15" spans="1:58" s="114" customFormat="1" ht="13.5" customHeight="1" x14ac:dyDescent="0.25">
      <c r="A15" s="171"/>
      <c r="B15" s="112" t="s">
        <v>395</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row>
    <row r="16" spans="1:58" s="114" customFormat="1" ht="15" hidden="1" customHeight="1" x14ac:dyDescent="0.25">
      <c r="A16" s="171"/>
      <c r="B16" s="112" t="s">
        <v>396</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row>
    <row r="17" spans="1:58" s="114" customFormat="1" ht="15" hidden="1" customHeight="1" x14ac:dyDescent="0.25">
      <c r="A17" s="171"/>
      <c r="B17" s="112" t="s">
        <v>397</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row>
    <row r="18" spans="1:58" s="114" customFormat="1" x14ac:dyDescent="0.25">
      <c r="A18" s="117" t="s">
        <v>12</v>
      </c>
      <c r="B18" s="118" t="s">
        <v>398</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row>
    <row r="19" spans="1:58" s="114" customFormat="1" x14ac:dyDescent="0.25">
      <c r="A19" s="117" t="s">
        <v>399</v>
      </c>
      <c r="B19" s="113" t="s">
        <v>400</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row>
    <row r="20" spans="1:58" s="114" customFormat="1" x14ac:dyDescent="0.25">
      <c r="A20" s="171" t="s">
        <v>14</v>
      </c>
      <c r="B20" s="112" t="s">
        <v>401</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row>
    <row r="21" spans="1:58" s="114" customFormat="1" x14ac:dyDescent="0.25">
      <c r="A21" s="171"/>
      <c r="B21" s="112" t="s">
        <v>402</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row>
    <row r="22" spans="1:58" s="114" customFormat="1" x14ac:dyDescent="0.25">
      <c r="A22" s="171"/>
      <c r="B22" s="112" t="s">
        <v>403</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row>
    <row r="23" spans="1:58" x14ac:dyDescent="0.25">
      <c r="A23" s="172" t="s">
        <v>126</v>
      </c>
      <c r="B23" s="118" t="s">
        <v>50</v>
      </c>
    </row>
    <row r="24" spans="1:58" x14ac:dyDescent="0.25">
      <c r="A24" s="172"/>
      <c r="B24" s="118" t="s">
        <v>404</v>
      </c>
    </row>
    <row r="25" spans="1:58" x14ac:dyDescent="0.25">
      <c r="A25" s="172"/>
      <c r="B25" s="118" t="s">
        <v>405</v>
      </c>
    </row>
    <row r="26" spans="1:58" x14ac:dyDescent="0.25">
      <c r="A26" s="172"/>
      <c r="B26" s="118" t="s">
        <v>406</v>
      </c>
    </row>
    <row r="27" spans="1:58" x14ac:dyDescent="0.25">
      <c r="A27" s="172"/>
      <c r="B27" s="119" t="s">
        <v>407</v>
      </c>
    </row>
    <row r="28" spans="1:58" x14ac:dyDescent="0.25">
      <c r="A28" s="172" t="s">
        <v>15</v>
      </c>
      <c r="B28" s="118" t="s">
        <v>408</v>
      </c>
    </row>
    <row r="29" spans="1:58" x14ac:dyDescent="0.25">
      <c r="A29" s="172"/>
      <c r="B29" s="118" t="s">
        <v>409</v>
      </c>
    </row>
    <row r="30" spans="1:58" x14ac:dyDescent="0.25">
      <c r="A30" s="172"/>
      <c r="B30" s="118" t="s">
        <v>410</v>
      </c>
    </row>
    <row r="31" spans="1:58" x14ac:dyDescent="0.25">
      <c r="A31" s="172"/>
      <c r="B31" s="118" t="s">
        <v>411</v>
      </c>
    </row>
    <row r="32" spans="1:58" x14ac:dyDescent="0.25">
      <c r="A32" s="172"/>
      <c r="B32" s="118" t="s">
        <v>412</v>
      </c>
    </row>
    <row r="33" spans="1:2" x14ac:dyDescent="0.25">
      <c r="A33" s="172"/>
      <c r="B33" s="118" t="s">
        <v>413</v>
      </c>
    </row>
    <row r="34" spans="1:2" x14ac:dyDescent="0.25">
      <c r="A34" s="172"/>
      <c r="B34" s="118" t="s">
        <v>28</v>
      </c>
    </row>
    <row r="35" spans="1:2" x14ac:dyDescent="0.25">
      <c r="A35" s="172" t="s">
        <v>16</v>
      </c>
      <c r="B35" s="118" t="s">
        <v>414</v>
      </c>
    </row>
    <row r="36" spans="1:2" x14ac:dyDescent="0.25">
      <c r="A36" s="172"/>
      <c r="B36" s="118" t="s">
        <v>415</v>
      </c>
    </row>
    <row r="37" spans="1:2" x14ac:dyDescent="0.25">
      <c r="A37" s="172"/>
      <c r="B37" s="118" t="s">
        <v>31</v>
      </c>
    </row>
    <row r="38" spans="1:2" x14ac:dyDescent="0.25">
      <c r="A38" s="172"/>
      <c r="B38" s="112" t="s">
        <v>416</v>
      </c>
    </row>
    <row r="39" spans="1:2" x14ac:dyDescent="0.25">
      <c r="A39" s="172"/>
      <c r="B39" s="118" t="s">
        <v>417</v>
      </c>
    </row>
    <row r="40" spans="1:2" x14ac:dyDescent="0.25">
      <c r="A40" s="173" t="s">
        <v>94</v>
      </c>
      <c r="B40" s="118" t="s">
        <v>418</v>
      </c>
    </row>
    <row r="41" spans="1:2" x14ac:dyDescent="0.25">
      <c r="A41" s="174"/>
      <c r="B41" s="118" t="s">
        <v>419</v>
      </c>
    </row>
    <row r="42" spans="1:2" x14ac:dyDescent="0.25">
      <c r="A42" s="174"/>
      <c r="B42" s="118" t="s">
        <v>420</v>
      </c>
    </row>
    <row r="43" spans="1:2" x14ac:dyDescent="0.25">
      <c r="A43" s="174"/>
      <c r="B43" s="118" t="s">
        <v>419</v>
      </c>
    </row>
    <row r="44" spans="1:2" x14ac:dyDescent="0.25">
      <c r="A44" s="168" t="s">
        <v>421</v>
      </c>
      <c r="B44" s="118" t="s">
        <v>384</v>
      </c>
    </row>
    <row r="45" spans="1:2" x14ac:dyDescent="0.25">
      <c r="A45" s="168"/>
      <c r="B45" s="118" t="s">
        <v>12</v>
      </c>
    </row>
    <row r="46" spans="1:2" x14ac:dyDescent="0.25">
      <c r="A46" s="168"/>
      <c r="B46" s="118" t="s">
        <v>13</v>
      </c>
    </row>
    <row r="47" spans="1:2" x14ac:dyDescent="0.25">
      <c r="A47" s="168"/>
      <c r="B47" s="118" t="s">
        <v>14</v>
      </c>
    </row>
    <row r="48" spans="1:2" x14ac:dyDescent="0.25">
      <c r="A48" s="168"/>
      <c r="B48" s="118" t="s">
        <v>422</v>
      </c>
    </row>
    <row r="49" spans="1:5" x14ac:dyDescent="0.25">
      <c r="A49" s="168"/>
      <c r="B49" s="118" t="s">
        <v>404</v>
      </c>
    </row>
    <row r="50" spans="1:5" x14ac:dyDescent="0.25">
      <c r="A50" s="168"/>
      <c r="B50" s="118" t="s">
        <v>405</v>
      </c>
    </row>
    <row r="51" spans="1:5" x14ac:dyDescent="0.25">
      <c r="A51" s="168"/>
      <c r="B51" s="118" t="s">
        <v>406</v>
      </c>
    </row>
    <row r="52" spans="1:5" x14ac:dyDescent="0.25">
      <c r="A52" s="168"/>
      <c r="B52" s="118" t="s">
        <v>19</v>
      </c>
    </row>
    <row r="53" spans="1:5" x14ac:dyDescent="0.25">
      <c r="A53" s="168"/>
      <c r="B53" s="118" t="s">
        <v>17</v>
      </c>
    </row>
    <row r="54" spans="1:5" x14ac:dyDescent="0.25">
      <c r="A54" s="168"/>
      <c r="B54" s="118" t="s">
        <v>18</v>
      </c>
    </row>
    <row r="55" spans="1:5" x14ac:dyDescent="0.25">
      <c r="A55" s="168"/>
      <c r="B55" s="118" t="s">
        <v>31</v>
      </c>
    </row>
    <row r="56" spans="1:5" x14ac:dyDescent="0.25">
      <c r="E56" s="121"/>
    </row>
  </sheetData>
  <mergeCells count="12">
    <mergeCell ref="A44:A55"/>
    <mergeCell ref="A1:B1"/>
    <mergeCell ref="D1:E1"/>
    <mergeCell ref="A3:A8"/>
    <mergeCell ref="D3:D4"/>
    <mergeCell ref="D5:D9"/>
    <mergeCell ref="A9:A17"/>
    <mergeCell ref="A20:A22"/>
    <mergeCell ref="A23:A27"/>
    <mergeCell ref="A28:A34"/>
    <mergeCell ref="A35:A39"/>
    <mergeCell ref="A40:A4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5"/>
  <sheetViews>
    <sheetView tabSelected="1" workbookViewId="0">
      <selection activeCell="D8" sqref="D8"/>
    </sheetView>
  </sheetViews>
  <sheetFormatPr defaultRowHeight="15" x14ac:dyDescent="0.25"/>
  <cols>
    <col min="1" max="1" width="14.42578125" style="120" customWidth="1"/>
    <col min="2" max="4" width="39.42578125" customWidth="1"/>
    <col min="5" max="5" width="15.7109375" customWidth="1"/>
    <col min="6" max="6" width="19.28515625" customWidth="1"/>
    <col min="7" max="7" width="43.42578125" bestFit="1" customWidth="1"/>
    <col min="252" max="252" width="11" bestFit="1" customWidth="1"/>
    <col min="253" max="253" width="28.140625" customWidth="1"/>
    <col min="254" max="254" width="21.85546875" customWidth="1"/>
    <col min="255" max="255" width="12.5703125" customWidth="1"/>
    <col min="256" max="256" width="28.140625" customWidth="1"/>
    <col min="257" max="257" width="15.85546875" customWidth="1"/>
    <col min="258" max="258" width="15.7109375" customWidth="1"/>
    <col min="259" max="259" width="19.28515625" customWidth="1"/>
    <col min="260" max="260" width="43.42578125" bestFit="1" customWidth="1"/>
    <col min="261" max="261" width="12.5703125" customWidth="1"/>
    <col min="262" max="262" width="15.140625" customWidth="1"/>
    <col min="263" max="263" width="13" customWidth="1"/>
    <col min="508" max="508" width="11" bestFit="1" customWidth="1"/>
    <col min="509" max="509" width="28.140625" customWidth="1"/>
    <col min="510" max="510" width="21.85546875" customWidth="1"/>
    <col min="511" max="511" width="12.5703125" customWidth="1"/>
    <col min="512" max="512" width="28.140625" customWidth="1"/>
    <col min="513" max="513" width="15.85546875" customWidth="1"/>
    <col min="514" max="514" width="15.7109375" customWidth="1"/>
    <col min="515" max="515" width="19.28515625" customWidth="1"/>
    <col min="516" max="516" width="43.42578125" bestFit="1" customWidth="1"/>
    <col min="517" max="517" width="12.5703125" customWidth="1"/>
    <col min="518" max="518" width="15.140625" customWidth="1"/>
    <col min="519" max="519" width="13" customWidth="1"/>
    <col min="764" max="764" width="11" bestFit="1" customWidth="1"/>
    <col min="765" max="765" width="28.140625" customWidth="1"/>
    <col min="766" max="766" width="21.85546875" customWidth="1"/>
    <col min="767" max="767" width="12.5703125" customWidth="1"/>
    <col min="768" max="768" width="28.140625" customWidth="1"/>
    <col min="769" max="769" width="15.85546875" customWidth="1"/>
    <col min="770" max="770" width="15.7109375" customWidth="1"/>
    <col min="771" max="771" width="19.28515625" customWidth="1"/>
    <col min="772" max="772" width="43.42578125" bestFit="1" customWidth="1"/>
    <col min="773" max="773" width="12.5703125" customWidth="1"/>
    <col min="774" max="774" width="15.140625" customWidth="1"/>
    <col min="775" max="775" width="13" customWidth="1"/>
    <col min="1020" max="1020" width="11" bestFit="1" customWidth="1"/>
    <col min="1021" max="1021" width="28.140625" customWidth="1"/>
    <col min="1022" max="1022" width="21.85546875" customWidth="1"/>
    <col min="1023" max="1023" width="12.5703125" customWidth="1"/>
    <col min="1024" max="1024" width="28.140625" customWidth="1"/>
    <col min="1025" max="1025" width="15.85546875" customWidth="1"/>
    <col min="1026" max="1026" width="15.7109375" customWidth="1"/>
    <col min="1027" max="1027" width="19.28515625" customWidth="1"/>
    <col min="1028" max="1028" width="43.42578125" bestFit="1" customWidth="1"/>
    <col min="1029" max="1029" width="12.5703125" customWidth="1"/>
    <col min="1030" max="1030" width="15.140625" customWidth="1"/>
    <col min="1031" max="1031" width="13" customWidth="1"/>
    <col min="1276" max="1276" width="11" bestFit="1" customWidth="1"/>
    <col min="1277" max="1277" width="28.140625" customWidth="1"/>
    <col min="1278" max="1278" width="21.85546875" customWidth="1"/>
    <col min="1279" max="1279" width="12.5703125" customWidth="1"/>
    <col min="1280" max="1280" width="28.140625" customWidth="1"/>
    <col min="1281" max="1281" width="15.85546875" customWidth="1"/>
    <col min="1282" max="1282" width="15.7109375" customWidth="1"/>
    <col min="1283" max="1283" width="19.28515625" customWidth="1"/>
    <col min="1284" max="1284" width="43.42578125" bestFit="1" customWidth="1"/>
    <col min="1285" max="1285" width="12.5703125" customWidth="1"/>
    <col min="1286" max="1286" width="15.140625" customWidth="1"/>
    <col min="1287" max="1287" width="13" customWidth="1"/>
    <col min="1532" max="1532" width="11" bestFit="1" customWidth="1"/>
    <col min="1533" max="1533" width="28.140625" customWidth="1"/>
    <col min="1534" max="1534" width="21.85546875" customWidth="1"/>
    <col min="1535" max="1535" width="12.5703125" customWidth="1"/>
    <col min="1536" max="1536" width="28.140625" customWidth="1"/>
    <col min="1537" max="1537" width="15.85546875" customWidth="1"/>
    <col min="1538" max="1538" width="15.7109375" customWidth="1"/>
    <col min="1539" max="1539" width="19.28515625" customWidth="1"/>
    <col min="1540" max="1540" width="43.42578125" bestFit="1" customWidth="1"/>
    <col min="1541" max="1541" width="12.5703125" customWidth="1"/>
    <col min="1542" max="1542" width="15.140625" customWidth="1"/>
    <col min="1543" max="1543" width="13" customWidth="1"/>
    <col min="1788" max="1788" width="11" bestFit="1" customWidth="1"/>
    <col min="1789" max="1789" width="28.140625" customWidth="1"/>
    <col min="1790" max="1790" width="21.85546875" customWidth="1"/>
    <col min="1791" max="1791" width="12.5703125" customWidth="1"/>
    <col min="1792" max="1792" width="28.140625" customWidth="1"/>
    <col min="1793" max="1793" width="15.85546875" customWidth="1"/>
    <col min="1794" max="1794" width="15.7109375" customWidth="1"/>
    <col min="1795" max="1795" width="19.28515625" customWidth="1"/>
    <col min="1796" max="1796" width="43.42578125" bestFit="1" customWidth="1"/>
    <col min="1797" max="1797" width="12.5703125" customWidth="1"/>
    <col min="1798" max="1798" width="15.140625" customWidth="1"/>
    <col min="1799" max="1799" width="13" customWidth="1"/>
    <col min="2044" max="2044" width="11" bestFit="1" customWidth="1"/>
    <col min="2045" max="2045" width="28.140625" customWidth="1"/>
    <col min="2046" max="2046" width="21.85546875" customWidth="1"/>
    <col min="2047" max="2047" width="12.5703125" customWidth="1"/>
    <col min="2048" max="2048" width="28.140625" customWidth="1"/>
    <col min="2049" max="2049" width="15.85546875" customWidth="1"/>
    <col min="2050" max="2050" width="15.7109375" customWidth="1"/>
    <col min="2051" max="2051" width="19.28515625" customWidth="1"/>
    <col min="2052" max="2052" width="43.42578125" bestFit="1" customWidth="1"/>
    <col min="2053" max="2053" width="12.5703125" customWidth="1"/>
    <col min="2054" max="2054" width="15.140625" customWidth="1"/>
    <col min="2055" max="2055" width="13" customWidth="1"/>
    <col min="2300" max="2300" width="11" bestFit="1" customWidth="1"/>
    <col min="2301" max="2301" width="28.140625" customWidth="1"/>
    <col min="2302" max="2302" width="21.85546875" customWidth="1"/>
    <col min="2303" max="2303" width="12.5703125" customWidth="1"/>
    <col min="2304" max="2304" width="28.140625" customWidth="1"/>
    <col min="2305" max="2305" width="15.85546875" customWidth="1"/>
    <col min="2306" max="2306" width="15.7109375" customWidth="1"/>
    <col min="2307" max="2307" width="19.28515625" customWidth="1"/>
    <col min="2308" max="2308" width="43.42578125" bestFit="1" customWidth="1"/>
    <col min="2309" max="2309" width="12.5703125" customWidth="1"/>
    <col min="2310" max="2310" width="15.140625" customWidth="1"/>
    <col min="2311" max="2311" width="13" customWidth="1"/>
    <col min="2556" max="2556" width="11" bestFit="1" customWidth="1"/>
    <col min="2557" max="2557" width="28.140625" customWidth="1"/>
    <col min="2558" max="2558" width="21.85546875" customWidth="1"/>
    <col min="2559" max="2559" width="12.5703125" customWidth="1"/>
    <col min="2560" max="2560" width="28.140625" customWidth="1"/>
    <col min="2561" max="2561" width="15.85546875" customWidth="1"/>
    <col min="2562" max="2562" width="15.7109375" customWidth="1"/>
    <col min="2563" max="2563" width="19.28515625" customWidth="1"/>
    <col min="2564" max="2564" width="43.42578125" bestFit="1" customWidth="1"/>
    <col min="2565" max="2565" width="12.5703125" customWidth="1"/>
    <col min="2566" max="2566" width="15.140625" customWidth="1"/>
    <col min="2567" max="2567" width="13" customWidth="1"/>
    <col min="2812" max="2812" width="11" bestFit="1" customWidth="1"/>
    <col min="2813" max="2813" width="28.140625" customWidth="1"/>
    <col min="2814" max="2814" width="21.85546875" customWidth="1"/>
    <col min="2815" max="2815" width="12.5703125" customWidth="1"/>
    <col min="2816" max="2816" width="28.140625" customWidth="1"/>
    <col min="2817" max="2817" width="15.85546875" customWidth="1"/>
    <col min="2818" max="2818" width="15.7109375" customWidth="1"/>
    <col min="2819" max="2819" width="19.28515625" customWidth="1"/>
    <col min="2820" max="2820" width="43.42578125" bestFit="1" customWidth="1"/>
    <col min="2821" max="2821" width="12.5703125" customWidth="1"/>
    <col min="2822" max="2822" width="15.140625" customWidth="1"/>
    <col min="2823" max="2823" width="13" customWidth="1"/>
    <col min="3068" max="3068" width="11" bestFit="1" customWidth="1"/>
    <col min="3069" max="3069" width="28.140625" customWidth="1"/>
    <col min="3070" max="3070" width="21.85546875" customWidth="1"/>
    <col min="3071" max="3071" width="12.5703125" customWidth="1"/>
    <col min="3072" max="3072" width="28.140625" customWidth="1"/>
    <col min="3073" max="3073" width="15.85546875" customWidth="1"/>
    <col min="3074" max="3074" width="15.7109375" customWidth="1"/>
    <col min="3075" max="3075" width="19.28515625" customWidth="1"/>
    <col min="3076" max="3076" width="43.42578125" bestFit="1" customWidth="1"/>
    <col min="3077" max="3077" width="12.5703125" customWidth="1"/>
    <col min="3078" max="3078" width="15.140625" customWidth="1"/>
    <col min="3079" max="3079" width="13" customWidth="1"/>
    <col min="3324" max="3324" width="11" bestFit="1" customWidth="1"/>
    <col min="3325" max="3325" width="28.140625" customWidth="1"/>
    <col min="3326" max="3326" width="21.85546875" customWidth="1"/>
    <col min="3327" max="3327" width="12.5703125" customWidth="1"/>
    <col min="3328" max="3328" width="28.140625" customWidth="1"/>
    <col min="3329" max="3329" width="15.85546875" customWidth="1"/>
    <col min="3330" max="3330" width="15.7109375" customWidth="1"/>
    <col min="3331" max="3331" width="19.28515625" customWidth="1"/>
    <col min="3332" max="3332" width="43.42578125" bestFit="1" customWidth="1"/>
    <col min="3333" max="3333" width="12.5703125" customWidth="1"/>
    <col min="3334" max="3334" width="15.140625" customWidth="1"/>
    <col min="3335" max="3335" width="13" customWidth="1"/>
    <col min="3580" max="3580" width="11" bestFit="1" customWidth="1"/>
    <col min="3581" max="3581" width="28.140625" customWidth="1"/>
    <col min="3582" max="3582" width="21.85546875" customWidth="1"/>
    <col min="3583" max="3583" width="12.5703125" customWidth="1"/>
    <col min="3584" max="3584" width="28.140625" customWidth="1"/>
    <col min="3585" max="3585" width="15.85546875" customWidth="1"/>
    <col min="3586" max="3586" width="15.7109375" customWidth="1"/>
    <col min="3587" max="3587" width="19.28515625" customWidth="1"/>
    <col min="3588" max="3588" width="43.42578125" bestFit="1" customWidth="1"/>
    <col min="3589" max="3589" width="12.5703125" customWidth="1"/>
    <col min="3590" max="3590" width="15.140625" customWidth="1"/>
    <col min="3591" max="3591" width="13" customWidth="1"/>
    <col min="3836" max="3836" width="11" bestFit="1" customWidth="1"/>
    <col min="3837" max="3837" width="28.140625" customWidth="1"/>
    <col min="3838" max="3838" width="21.85546875" customWidth="1"/>
    <col min="3839" max="3839" width="12.5703125" customWidth="1"/>
    <col min="3840" max="3840" width="28.140625" customWidth="1"/>
    <col min="3841" max="3841" width="15.85546875" customWidth="1"/>
    <col min="3842" max="3842" width="15.7109375" customWidth="1"/>
    <col min="3843" max="3843" width="19.28515625" customWidth="1"/>
    <col min="3844" max="3844" width="43.42578125" bestFit="1" customWidth="1"/>
    <col min="3845" max="3845" width="12.5703125" customWidth="1"/>
    <col min="3846" max="3846" width="15.140625" customWidth="1"/>
    <col min="3847" max="3847" width="13" customWidth="1"/>
    <col min="4092" max="4092" width="11" bestFit="1" customWidth="1"/>
    <col min="4093" max="4093" width="28.140625" customWidth="1"/>
    <col min="4094" max="4094" width="21.85546875" customWidth="1"/>
    <col min="4095" max="4095" width="12.5703125" customWidth="1"/>
    <col min="4096" max="4096" width="28.140625" customWidth="1"/>
    <col min="4097" max="4097" width="15.85546875" customWidth="1"/>
    <col min="4098" max="4098" width="15.7109375" customWidth="1"/>
    <col min="4099" max="4099" width="19.28515625" customWidth="1"/>
    <col min="4100" max="4100" width="43.42578125" bestFit="1" customWidth="1"/>
    <col min="4101" max="4101" width="12.5703125" customWidth="1"/>
    <col min="4102" max="4102" width="15.140625" customWidth="1"/>
    <col min="4103" max="4103" width="13" customWidth="1"/>
    <col min="4348" max="4348" width="11" bestFit="1" customWidth="1"/>
    <col min="4349" max="4349" width="28.140625" customWidth="1"/>
    <col min="4350" max="4350" width="21.85546875" customWidth="1"/>
    <col min="4351" max="4351" width="12.5703125" customWidth="1"/>
    <col min="4352" max="4352" width="28.140625" customWidth="1"/>
    <col min="4353" max="4353" width="15.85546875" customWidth="1"/>
    <col min="4354" max="4354" width="15.7109375" customWidth="1"/>
    <col min="4355" max="4355" width="19.28515625" customWidth="1"/>
    <col min="4356" max="4356" width="43.42578125" bestFit="1" customWidth="1"/>
    <col min="4357" max="4357" width="12.5703125" customWidth="1"/>
    <col min="4358" max="4358" width="15.140625" customWidth="1"/>
    <col min="4359" max="4359" width="13" customWidth="1"/>
    <col min="4604" max="4604" width="11" bestFit="1" customWidth="1"/>
    <col min="4605" max="4605" width="28.140625" customWidth="1"/>
    <col min="4606" max="4606" width="21.85546875" customWidth="1"/>
    <col min="4607" max="4607" width="12.5703125" customWidth="1"/>
    <col min="4608" max="4608" width="28.140625" customWidth="1"/>
    <col min="4609" max="4609" width="15.85546875" customWidth="1"/>
    <col min="4610" max="4610" width="15.7109375" customWidth="1"/>
    <col min="4611" max="4611" width="19.28515625" customWidth="1"/>
    <col min="4612" max="4612" width="43.42578125" bestFit="1" customWidth="1"/>
    <col min="4613" max="4613" width="12.5703125" customWidth="1"/>
    <col min="4614" max="4614" width="15.140625" customWidth="1"/>
    <col min="4615" max="4615" width="13" customWidth="1"/>
    <col min="4860" max="4860" width="11" bestFit="1" customWidth="1"/>
    <col min="4861" max="4861" width="28.140625" customWidth="1"/>
    <col min="4862" max="4862" width="21.85546875" customWidth="1"/>
    <col min="4863" max="4863" width="12.5703125" customWidth="1"/>
    <col min="4864" max="4864" width="28.140625" customWidth="1"/>
    <col min="4865" max="4865" width="15.85546875" customWidth="1"/>
    <col min="4866" max="4866" width="15.7109375" customWidth="1"/>
    <col min="4867" max="4867" width="19.28515625" customWidth="1"/>
    <col min="4868" max="4868" width="43.42578125" bestFit="1" customWidth="1"/>
    <col min="4869" max="4869" width="12.5703125" customWidth="1"/>
    <col min="4870" max="4870" width="15.140625" customWidth="1"/>
    <col min="4871" max="4871" width="13" customWidth="1"/>
    <col min="5116" max="5116" width="11" bestFit="1" customWidth="1"/>
    <col min="5117" max="5117" width="28.140625" customWidth="1"/>
    <col min="5118" max="5118" width="21.85546875" customWidth="1"/>
    <col min="5119" max="5119" width="12.5703125" customWidth="1"/>
    <col min="5120" max="5120" width="28.140625" customWidth="1"/>
    <col min="5121" max="5121" width="15.85546875" customWidth="1"/>
    <col min="5122" max="5122" width="15.7109375" customWidth="1"/>
    <col min="5123" max="5123" width="19.28515625" customWidth="1"/>
    <col min="5124" max="5124" width="43.42578125" bestFit="1" customWidth="1"/>
    <col min="5125" max="5125" width="12.5703125" customWidth="1"/>
    <col min="5126" max="5126" width="15.140625" customWidth="1"/>
    <col min="5127" max="5127" width="13" customWidth="1"/>
    <col min="5372" max="5372" width="11" bestFit="1" customWidth="1"/>
    <col min="5373" max="5373" width="28.140625" customWidth="1"/>
    <col min="5374" max="5374" width="21.85546875" customWidth="1"/>
    <col min="5375" max="5375" width="12.5703125" customWidth="1"/>
    <col min="5376" max="5376" width="28.140625" customWidth="1"/>
    <col min="5377" max="5377" width="15.85546875" customWidth="1"/>
    <col min="5378" max="5378" width="15.7109375" customWidth="1"/>
    <col min="5379" max="5379" width="19.28515625" customWidth="1"/>
    <col min="5380" max="5380" width="43.42578125" bestFit="1" customWidth="1"/>
    <col min="5381" max="5381" width="12.5703125" customWidth="1"/>
    <col min="5382" max="5382" width="15.140625" customWidth="1"/>
    <col min="5383" max="5383" width="13" customWidth="1"/>
    <col min="5628" max="5628" width="11" bestFit="1" customWidth="1"/>
    <col min="5629" max="5629" width="28.140625" customWidth="1"/>
    <col min="5630" max="5630" width="21.85546875" customWidth="1"/>
    <col min="5631" max="5631" width="12.5703125" customWidth="1"/>
    <col min="5632" max="5632" width="28.140625" customWidth="1"/>
    <col min="5633" max="5633" width="15.85546875" customWidth="1"/>
    <col min="5634" max="5634" width="15.7109375" customWidth="1"/>
    <col min="5635" max="5635" width="19.28515625" customWidth="1"/>
    <col min="5636" max="5636" width="43.42578125" bestFit="1" customWidth="1"/>
    <col min="5637" max="5637" width="12.5703125" customWidth="1"/>
    <col min="5638" max="5638" width="15.140625" customWidth="1"/>
    <col min="5639" max="5639" width="13" customWidth="1"/>
    <col min="5884" max="5884" width="11" bestFit="1" customWidth="1"/>
    <col min="5885" max="5885" width="28.140625" customWidth="1"/>
    <col min="5886" max="5886" width="21.85546875" customWidth="1"/>
    <col min="5887" max="5887" width="12.5703125" customWidth="1"/>
    <col min="5888" max="5888" width="28.140625" customWidth="1"/>
    <col min="5889" max="5889" width="15.85546875" customWidth="1"/>
    <col min="5890" max="5890" width="15.7109375" customWidth="1"/>
    <col min="5891" max="5891" width="19.28515625" customWidth="1"/>
    <col min="5892" max="5892" width="43.42578125" bestFit="1" customWidth="1"/>
    <col min="5893" max="5893" width="12.5703125" customWidth="1"/>
    <col min="5894" max="5894" width="15.140625" customWidth="1"/>
    <col min="5895" max="5895" width="13" customWidth="1"/>
    <col min="6140" max="6140" width="11" bestFit="1" customWidth="1"/>
    <col min="6141" max="6141" width="28.140625" customWidth="1"/>
    <col min="6142" max="6142" width="21.85546875" customWidth="1"/>
    <col min="6143" max="6143" width="12.5703125" customWidth="1"/>
    <col min="6144" max="6144" width="28.140625" customWidth="1"/>
    <col min="6145" max="6145" width="15.85546875" customWidth="1"/>
    <col min="6146" max="6146" width="15.7109375" customWidth="1"/>
    <col min="6147" max="6147" width="19.28515625" customWidth="1"/>
    <col min="6148" max="6148" width="43.42578125" bestFit="1" customWidth="1"/>
    <col min="6149" max="6149" width="12.5703125" customWidth="1"/>
    <col min="6150" max="6150" width="15.140625" customWidth="1"/>
    <col min="6151" max="6151" width="13" customWidth="1"/>
    <col min="6396" max="6396" width="11" bestFit="1" customWidth="1"/>
    <col min="6397" max="6397" width="28.140625" customWidth="1"/>
    <col min="6398" max="6398" width="21.85546875" customWidth="1"/>
    <col min="6399" max="6399" width="12.5703125" customWidth="1"/>
    <col min="6400" max="6400" width="28.140625" customWidth="1"/>
    <col min="6401" max="6401" width="15.85546875" customWidth="1"/>
    <col min="6402" max="6402" width="15.7109375" customWidth="1"/>
    <col min="6403" max="6403" width="19.28515625" customWidth="1"/>
    <col min="6404" max="6404" width="43.42578125" bestFit="1" customWidth="1"/>
    <col min="6405" max="6405" width="12.5703125" customWidth="1"/>
    <col min="6406" max="6406" width="15.140625" customWidth="1"/>
    <col min="6407" max="6407" width="13" customWidth="1"/>
    <col min="6652" max="6652" width="11" bestFit="1" customWidth="1"/>
    <col min="6653" max="6653" width="28.140625" customWidth="1"/>
    <col min="6654" max="6654" width="21.85546875" customWidth="1"/>
    <col min="6655" max="6655" width="12.5703125" customWidth="1"/>
    <col min="6656" max="6656" width="28.140625" customWidth="1"/>
    <col min="6657" max="6657" width="15.85546875" customWidth="1"/>
    <col min="6658" max="6658" width="15.7109375" customWidth="1"/>
    <col min="6659" max="6659" width="19.28515625" customWidth="1"/>
    <col min="6660" max="6660" width="43.42578125" bestFit="1" customWidth="1"/>
    <col min="6661" max="6661" width="12.5703125" customWidth="1"/>
    <col min="6662" max="6662" width="15.140625" customWidth="1"/>
    <col min="6663" max="6663" width="13" customWidth="1"/>
    <col min="6908" max="6908" width="11" bestFit="1" customWidth="1"/>
    <col min="6909" max="6909" width="28.140625" customWidth="1"/>
    <col min="6910" max="6910" width="21.85546875" customWidth="1"/>
    <col min="6911" max="6911" width="12.5703125" customWidth="1"/>
    <col min="6912" max="6912" width="28.140625" customWidth="1"/>
    <col min="6913" max="6913" width="15.85546875" customWidth="1"/>
    <col min="6914" max="6914" width="15.7109375" customWidth="1"/>
    <col min="6915" max="6915" width="19.28515625" customWidth="1"/>
    <col min="6916" max="6916" width="43.42578125" bestFit="1" customWidth="1"/>
    <col min="6917" max="6917" width="12.5703125" customWidth="1"/>
    <col min="6918" max="6918" width="15.140625" customWidth="1"/>
    <col min="6919" max="6919" width="13" customWidth="1"/>
    <col min="7164" max="7164" width="11" bestFit="1" customWidth="1"/>
    <col min="7165" max="7165" width="28.140625" customWidth="1"/>
    <col min="7166" max="7166" width="21.85546875" customWidth="1"/>
    <col min="7167" max="7167" width="12.5703125" customWidth="1"/>
    <col min="7168" max="7168" width="28.140625" customWidth="1"/>
    <col min="7169" max="7169" width="15.85546875" customWidth="1"/>
    <col min="7170" max="7170" width="15.7109375" customWidth="1"/>
    <col min="7171" max="7171" width="19.28515625" customWidth="1"/>
    <col min="7172" max="7172" width="43.42578125" bestFit="1" customWidth="1"/>
    <col min="7173" max="7173" width="12.5703125" customWidth="1"/>
    <col min="7174" max="7174" width="15.140625" customWidth="1"/>
    <col min="7175" max="7175" width="13" customWidth="1"/>
    <col min="7420" max="7420" width="11" bestFit="1" customWidth="1"/>
    <col min="7421" max="7421" width="28.140625" customWidth="1"/>
    <col min="7422" max="7422" width="21.85546875" customWidth="1"/>
    <col min="7423" max="7423" width="12.5703125" customWidth="1"/>
    <col min="7424" max="7424" width="28.140625" customWidth="1"/>
    <col min="7425" max="7425" width="15.85546875" customWidth="1"/>
    <col min="7426" max="7426" width="15.7109375" customWidth="1"/>
    <col min="7427" max="7427" width="19.28515625" customWidth="1"/>
    <col min="7428" max="7428" width="43.42578125" bestFit="1" customWidth="1"/>
    <col min="7429" max="7429" width="12.5703125" customWidth="1"/>
    <col min="7430" max="7430" width="15.140625" customWidth="1"/>
    <col min="7431" max="7431" width="13" customWidth="1"/>
    <col min="7676" max="7676" width="11" bestFit="1" customWidth="1"/>
    <col min="7677" max="7677" width="28.140625" customWidth="1"/>
    <col min="7678" max="7678" width="21.85546875" customWidth="1"/>
    <col min="7679" max="7679" width="12.5703125" customWidth="1"/>
    <col min="7680" max="7680" width="28.140625" customWidth="1"/>
    <col min="7681" max="7681" width="15.85546875" customWidth="1"/>
    <col min="7682" max="7682" width="15.7109375" customWidth="1"/>
    <col min="7683" max="7683" width="19.28515625" customWidth="1"/>
    <col min="7684" max="7684" width="43.42578125" bestFit="1" customWidth="1"/>
    <col min="7685" max="7685" width="12.5703125" customWidth="1"/>
    <col min="7686" max="7686" width="15.140625" customWidth="1"/>
    <col min="7687" max="7687" width="13" customWidth="1"/>
    <col min="7932" max="7932" width="11" bestFit="1" customWidth="1"/>
    <col min="7933" max="7933" width="28.140625" customWidth="1"/>
    <col min="7934" max="7934" width="21.85546875" customWidth="1"/>
    <col min="7935" max="7935" width="12.5703125" customWidth="1"/>
    <col min="7936" max="7936" width="28.140625" customWidth="1"/>
    <col min="7937" max="7937" width="15.85546875" customWidth="1"/>
    <col min="7938" max="7938" width="15.7109375" customWidth="1"/>
    <col min="7939" max="7939" width="19.28515625" customWidth="1"/>
    <col min="7940" max="7940" width="43.42578125" bestFit="1" customWidth="1"/>
    <col min="7941" max="7941" width="12.5703125" customWidth="1"/>
    <col min="7942" max="7942" width="15.140625" customWidth="1"/>
    <col min="7943" max="7943" width="13" customWidth="1"/>
    <col min="8188" max="8188" width="11" bestFit="1" customWidth="1"/>
    <col min="8189" max="8189" width="28.140625" customWidth="1"/>
    <col min="8190" max="8190" width="21.85546875" customWidth="1"/>
    <col min="8191" max="8191" width="12.5703125" customWidth="1"/>
    <col min="8192" max="8192" width="28.140625" customWidth="1"/>
    <col min="8193" max="8193" width="15.85546875" customWidth="1"/>
    <col min="8194" max="8194" width="15.7109375" customWidth="1"/>
    <col min="8195" max="8195" width="19.28515625" customWidth="1"/>
    <col min="8196" max="8196" width="43.42578125" bestFit="1" customWidth="1"/>
    <col min="8197" max="8197" width="12.5703125" customWidth="1"/>
    <col min="8198" max="8198" width="15.140625" customWidth="1"/>
    <col min="8199" max="8199" width="13" customWidth="1"/>
    <col min="8444" max="8444" width="11" bestFit="1" customWidth="1"/>
    <col min="8445" max="8445" width="28.140625" customWidth="1"/>
    <col min="8446" max="8446" width="21.85546875" customWidth="1"/>
    <col min="8447" max="8447" width="12.5703125" customWidth="1"/>
    <col min="8448" max="8448" width="28.140625" customWidth="1"/>
    <col min="8449" max="8449" width="15.85546875" customWidth="1"/>
    <col min="8450" max="8450" width="15.7109375" customWidth="1"/>
    <col min="8451" max="8451" width="19.28515625" customWidth="1"/>
    <col min="8452" max="8452" width="43.42578125" bestFit="1" customWidth="1"/>
    <col min="8453" max="8453" width="12.5703125" customWidth="1"/>
    <col min="8454" max="8454" width="15.140625" customWidth="1"/>
    <col min="8455" max="8455" width="13" customWidth="1"/>
    <col min="8700" max="8700" width="11" bestFit="1" customWidth="1"/>
    <col min="8701" max="8701" width="28.140625" customWidth="1"/>
    <col min="8702" max="8702" width="21.85546875" customWidth="1"/>
    <col min="8703" max="8703" width="12.5703125" customWidth="1"/>
    <col min="8704" max="8704" width="28.140625" customWidth="1"/>
    <col min="8705" max="8705" width="15.85546875" customWidth="1"/>
    <col min="8706" max="8706" width="15.7109375" customWidth="1"/>
    <col min="8707" max="8707" width="19.28515625" customWidth="1"/>
    <col min="8708" max="8708" width="43.42578125" bestFit="1" customWidth="1"/>
    <col min="8709" max="8709" width="12.5703125" customWidth="1"/>
    <col min="8710" max="8710" width="15.140625" customWidth="1"/>
    <col min="8711" max="8711" width="13" customWidth="1"/>
    <col min="8956" max="8956" width="11" bestFit="1" customWidth="1"/>
    <col min="8957" max="8957" width="28.140625" customWidth="1"/>
    <col min="8958" max="8958" width="21.85546875" customWidth="1"/>
    <col min="8959" max="8959" width="12.5703125" customWidth="1"/>
    <col min="8960" max="8960" width="28.140625" customWidth="1"/>
    <col min="8961" max="8961" width="15.85546875" customWidth="1"/>
    <col min="8962" max="8962" width="15.7109375" customWidth="1"/>
    <col min="8963" max="8963" width="19.28515625" customWidth="1"/>
    <col min="8964" max="8964" width="43.42578125" bestFit="1" customWidth="1"/>
    <col min="8965" max="8965" width="12.5703125" customWidth="1"/>
    <col min="8966" max="8966" width="15.140625" customWidth="1"/>
    <col min="8967" max="8967" width="13" customWidth="1"/>
    <col min="9212" max="9212" width="11" bestFit="1" customWidth="1"/>
    <col min="9213" max="9213" width="28.140625" customWidth="1"/>
    <col min="9214" max="9214" width="21.85546875" customWidth="1"/>
    <col min="9215" max="9215" width="12.5703125" customWidth="1"/>
    <col min="9216" max="9216" width="28.140625" customWidth="1"/>
    <col min="9217" max="9217" width="15.85546875" customWidth="1"/>
    <col min="9218" max="9218" width="15.7109375" customWidth="1"/>
    <col min="9219" max="9219" width="19.28515625" customWidth="1"/>
    <col min="9220" max="9220" width="43.42578125" bestFit="1" customWidth="1"/>
    <col min="9221" max="9221" width="12.5703125" customWidth="1"/>
    <col min="9222" max="9222" width="15.140625" customWidth="1"/>
    <col min="9223" max="9223" width="13" customWidth="1"/>
    <col min="9468" max="9468" width="11" bestFit="1" customWidth="1"/>
    <col min="9469" max="9469" width="28.140625" customWidth="1"/>
    <col min="9470" max="9470" width="21.85546875" customWidth="1"/>
    <col min="9471" max="9471" width="12.5703125" customWidth="1"/>
    <col min="9472" max="9472" width="28.140625" customWidth="1"/>
    <col min="9473" max="9473" width="15.85546875" customWidth="1"/>
    <col min="9474" max="9474" width="15.7109375" customWidth="1"/>
    <col min="9475" max="9475" width="19.28515625" customWidth="1"/>
    <col min="9476" max="9476" width="43.42578125" bestFit="1" customWidth="1"/>
    <col min="9477" max="9477" width="12.5703125" customWidth="1"/>
    <col min="9478" max="9478" width="15.140625" customWidth="1"/>
    <col min="9479" max="9479" width="13" customWidth="1"/>
    <col min="9724" max="9724" width="11" bestFit="1" customWidth="1"/>
    <col min="9725" max="9725" width="28.140625" customWidth="1"/>
    <col min="9726" max="9726" width="21.85546875" customWidth="1"/>
    <col min="9727" max="9727" width="12.5703125" customWidth="1"/>
    <col min="9728" max="9728" width="28.140625" customWidth="1"/>
    <col min="9729" max="9729" width="15.85546875" customWidth="1"/>
    <col min="9730" max="9730" width="15.7109375" customWidth="1"/>
    <col min="9731" max="9731" width="19.28515625" customWidth="1"/>
    <col min="9732" max="9732" width="43.42578125" bestFit="1" customWidth="1"/>
    <col min="9733" max="9733" width="12.5703125" customWidth="1"/>
    <col min="9734" max="9734" width="15.140625" customWidth="1"/>
    <col min="9735" max="9735" width="13" customWidth="1"/>
    <col min="9980" max="9980" width="11" bestFit="1" customWidth="1"/>
    <col min="9981" max="9981" width="28.140625" customWidth="1"/>
    <col min="9982" max="9982" width="21.85546875" customWidth="1"/>
    <col min="9983" max="9983" width="12.5703125" customWidth="1"/>
    <col min="9984" max="9984" width="28.140625" customWidth="1"/>
    <col min="9985" max="9985" width="15.85546875" customWidth="1"/>
    <col min="9986" max="9986" width="15.7109375" customWidth="1"/>
    <col min="9987" max="9987" width="19.28515625" customWidth="1"/>
    <col min="9988" max="9988" width="43.42578125" bestFit="1" customWidth="1"/>
    <col min="9989" max="9989" width="12.5703125" customWidth="1"/>
    <col min="9990" max="9990" width="15.140625" customWidth="1"/>
    <col min="9991" max="9991" width="13" customWidth="1"/>
    <col min="10236" max="10236" width="11" bestFit="1" customWidth="1"/>
    <col min="10237" max="10237" width="28.140625" customWidth="1"/>
    <col min="10238" max="10238" width="21.85546875" customWidth="1"/>
    <col min="10239" max="10239" width="12.5703125" customWidth="1"/>
    <col min="10240" max="10240" width="28.140625" customWidth="1"/>
    <col min="10241" max="10241" width="15.85546875" customWidth="1"/>
    <col min="10242" max="10242" width="15.7109375" customWidth="1"/>
    <col min="10243" max="10243" width="19.28515625" customWidth="1"/>
    <col min="10244" max="10244" width="43.42578125" bestFit="1" customWidth="1"/>
    <col min="10245" max="10245" width="12.5703125" customWidth="1"/>
    <col min="10246" max="10246" width="15.140625" customWidth="1"/>
    <col min="10247" max="10247" width="13" customWidth="1"/>
    <col min="10492" max="10492" width="11" bestFit="1" customWidth="1"/>
    <col min="10493" max="10493" width="28.140625" customWidth="1"/>
    <col min="10494" max="10494" width="21.85546875" customWidth="1"/>
    <col min="10495" max="10495" width="12.5703125" customWidth="1"/>
    <col min="10496" max="10496" width="28.140625" customWidth="1"/>
    <col min="10497" max="10497" width="15.85546875" customWidth="1"/>
    <col min="10498" max="10498" width="15.7109375" customWidth="1"/>
    <col min="10499" max="10499" width="19.28515625" customWidth="1"/>
    <col min="10500" max="10500" width="43.42578125" bestFit="1" customWidth="1"/>
    <col min="10501" max="10501" width="12.5703125" customWidth="1"/>
    <col min="10502" max="10502" width="15.140625" customWidth="1"/>
    <col min="10503" max="10503" width="13" customWidth="1"/>
    <col min="10748" max="10748" width="11" bestFit="1" customWidth="1"/>
    <col min="10749" max="10749" width="28.140625" customWidth="1"/>
    <col min="10750" max="10750" width="21.85546875" customWidth="1"/>
    <col min="10751" max="10751" width="12.5703125" customWidth="1"/>
    <col min="10752" max="10752" width="28.140625" customWidth="1"/>
    <col min="10753" max="10753" width="15.85546875" customWidth="1"/>
    <col min="10754" max="10754" width="15.7109375" customWidth="1"/>
    <col min="10755" max="10755" width="19.28515625" customWidth="1"/>
    <col min="10756" max="10756" width="43.42578125" bestFit="1" customWidth="1"/>
    <col min="10757" max="10757" width="12.5703125" customWidth="1"/>
    <col min="10758" max="10758" width="15.140625" customWidth="1"/>
    <col min="10759" max="10759" width="13" customWidth="1"/>
    <col min="11004" max="11004" width="11" bestFit="1" customWidth="1"/>
    <col min="11005" max="11005" width="28.140625" customWidth="1"/>
    <col min="11006" max="11006" width="21.85546875" customWidth="1"/>
    <col min="11007" max="11007" width="12.5703125" customWidth="1"/>
    <col min="11008" max="11008" width="28.140625" customWidth="1"/>
    <col min="11009" max="11009" width="15.85546875" customWidth="1"/>
    <col min="11010" max="11010" width="15.7109375" customWidth="1"/>
    <col min="11011" max="11011" width="19.28515625" customWidth="1"/>
    <col min="11012" max="11012" width="43.42578125" bestFit="1" customWidth="1"/>
    <col min="11013" max="11013" width="12.5703125" customWidth="1"/>
    <col min="11014" max="11014" width="15.140625" customWidth="1"/>
    <col min="11015" max="11015" width="13" customWidth="1"/>
    <col min="11260" max="11260" width="11" bestFit="1" customWidth="1"/>
    <col min="11261" max="11261" width="28.140625" customWidth="1"/>
    <col min="11262" max="11262" width="21.85546875" customWidth="1"/>
    <col min="11263" max="11263" width="12.5703125" customWidth="1"/>
    <col min="11264" max="11264" width="28.140625" customWidth="1"/>
    <col min="11265" max="11265" width="15.85546875" customWidth="1"/>
    <col min="11266" max="11266" width="15.7109375" customWidth="1"/>
    <col min="11267" max="11267" width="19.28515625" customWidth="1"/>
    <col min="11268" max="11268" width="43.42578125" bestFit="1" customWidth="1"/>
    <col min="11269" max="11269" width="12.5703125" customWidth="1"/>
    <col min="11270" max="11270" width="15.140625" customWidth="1"/>
    <col min="11271" max="11271" width="13" customWidth="1"/>
    <col min="11516" max="11516" width="11" bestFit="1" customWidth="1"/>
    <col min="11517" max="11517" width="28.140625" customWidth="1"/>
    <col min="11518" max="11518" width="21.85546875" customWidth="1"/>
    <col min="11519" max="11519" width="12.5703125" customWidth="1"/>
    <col min="11520" max="11520" width="28.140625" customWidth="1"/>
    <col min="11521" max="11521" width="15.85546875" customWidth="1"/>
    <col min="11522" max="11522" width="15.7109375" customWidth="1"/>
    <col min="11523" max="11523" width="19.28515625" customWidth="1"/>
    <col min="11524" max="11524" width="43.42578125" bestFit="1" customWidth="1"/>
    <col min="11525" max="11525" width="12.5703125" customWidth="1"/>
    <col min="11526" max="11526" width="15.140625" customWidth="1"/>
    <col min="11527" max="11527" width="13" customWidth="1"/>
    <col min="11772" max="11772" width="11" bestFit="1" customWidth="1"/>
    <col min="11773" max="11773" width="28.140625" customWidth="1"/>
    <col min="11774" max="11774" width="21.85546875" customWidth="1"/>
    <col min="11775" max="11775" width="12.5703125" customWidth="1"/>
    <col min="11776" max="11776" width="28.140625" customWidth="1"/>
    <col min="11777" max="11777" width="15.85546875" customWidth="1"/>
    <col min="11778" max="11778" width="15.7109375" customWidth="1"/>
    <col min="11779" max="11779" width="19.28515625" customWidth="1"/>
    <col min="11780" max="11780" width="43.42578125" bestFit="1" customWidth="1"/>
    <col min="11781" max="11781" width="12.5703125" customWidth="1"/>
    <col min="11782" max="11782" width="15.140625" customWidth="1"/>
    <col min="11783" max="11783" width="13" customWidth="1"/>
    <col min="12028" max="12028" width="11" bestFit="1" customWidth="1"/>
    <col min="12029" max="12029" width="28.140625" customWidth="1"/>
    <col min="12030" max="12030" width="21.85546875" customWidth="1"/>
    <col min="12031" max="12031" width="12.5703125" customWidth="1"/>
    <col min="12032" max="12032" width="28.140625" customWidth="1"/>
    <col min="12033" max="12033" width="15.85546875" customWidth="1"/>
    <col min="12034" max="12034" width="15.7109375" customWidth="1"/>
    <col min="12035" max="12035" width="19.28515625" customWidth="1"/>
    <col min="12036" max="12036" width="43.42578125" bestFit="1" customWidth="1"/>
    <col min="12037" max="12037" width="12.5703125" customWidth="1"/>
    <col min="12038" max="12038" width="15.140625" customWidth="1"/>
    <col min="12039" max="12039" width="13" customWidth="1"/>
    <col min="12284" max="12284" width="11" bestFit="1" customWidth="1"/>
    <col min="12285" max="12285" width="28.140625" customWidth="1"/>
    <col min="12286" max="12286" width="21.85546875" customWidth="1"/>
    <col min="12287" max="12287" width="12.5703125" customWidth="1"/>
    <col min="12288" max="12288" width="28.140625" customWidth="1"/>
    <col min="12289" max="12289" width="15.85546875" customWidth="1"/>
    <col min="12290" max="12290" width="15.7109375" customWidth="1"/>
    <col min="12291" max="12291" width="19.28515625" customWidth="1"/>
    <col min="12292" max="12292" width="43.42578125" bestFit="1" customWidth="1"/>
    <col min="12293" max="12293" width="12.5703125" customWidth="1"/>
    <col min="12294" max="12294" width="15.140625" customWidth="1"/>
    <col min="12295" max="12295" width="13" customWidth="1"/>
    <col min="12540" max="12540" width="11" bestFit="1" customWidth="1"/>
    <col min="12541" max="12541" width="28.140625" customWidth="1"/>
    <col min="12542" max="12542" width="21.85546875" customWidth="1"/>
    <col min="12543" max="12543" width="12.5703125" customWidth="1"/>
    <col min="12544" max="12544" width="28.140625" customWidth="1"/>
    <col min="12545" max="12545" width="15.85546875" customWidth="1"/>
    <col min="12546" max="12546" width="15.7109375" customWidth="1"/>
    <col min="12547" max="12547" width="19.28515625" customWidth="1"/>
    <col min="12548" max="12548" width="43.42578125" bestFit="1" customWidth="1"/>
    <col min="12549" max="12549" width="12.5703125" customWidth="1"/>
    <col min="12550" max="12550" width="15.140625" customWidth="1"/>
    <col min="12551" max="12551" width="13" customWidth="1"/>
    <col min="12796" max="12796" width="11" bestFit="1" customWidth="1"/>
    <col min="12797" max="12797" width="28.140625" customWidth="1"/>
    <col min="12798" max="12798" width="21.85546875" customWidth="1"/>
    <col min="12799" max="12799" width="12.5703125" customWidth="1"/>
    <col min="12800" max="12800" width="28.140625" customWidth="1"/>
    <col min="12801" max="12801" width="15.85546875" customWidth="1"/>
    <col min="12802" max="12802" width="15.7109375" customWidth="1"/>
    <col min="12803" max="12803" width="19.28515625" customWidth="1"/>
    <col min="12804" max="12804" width="43.42578125" bestFit="1" customWidth="1"/>
    <col min="12805" max="12805" width="12.5703125" customWidth="1"/>
    <col min="12806" max="12806" width="15.140625" customWidth="1"/>
    <col min="12807" max="12807" width="13" customWidth="1"/>
    <col min="13052" max="13052" width="11" bestFit="1" customWidth="1"/>
    <col min="13053" max="13053" width="28.140625" customWidth="1"/>
    <col min="13054" max="13054" width="21.85546875" customWidth="1"/>
    <col min="13055" max="13055" width="12.5703125" customWidth="1"/>
    <col min="13056" max="13056" width="28.140625" customWidth="1"/>
    <col min="13057" max="13057" width="15.85546875" customWidth="1"/>
    <col min="13058" max="13058" width="15.7109375" customWidth="1"/>
    <col min="13059" max="13059" width="19.28515625" customWidth="1"/>
    <col min="13060" max="13060" width="43.42578125" bestFit="1" customWidth="1"/>
    <col min="13061" max="13061" width="12.5703125" customWidth="1"/>
    <col min="13062" max="13062" width="15.140625" customWidth="1"/>
    <col min="13063" max="13063" width="13" customWidth="1"/>
    <col min="13308" max="13308" width="11" bestFit="1" customWidth="1"/>
    <col min="13309" max="13309" width="28.140625" customWidth="1"/>
    <col min="13310" max="13310" width="21.85546875" customWidth="1"/>
    <col min="13311" max="13311" width="12.5703125" customWidth="1"/>
    <col min="13312" max="13312" width="28.140625" customWidth="1"/>
    <col min="13313" max="13313" width="15.85546875" customWidth="1"/>
    <col min="13314" max="13314" width="15.7109375" customWidth="1"/>
    <col min="13315" max="13315" width="19.28515625" customWidth="1"/>
    <col min="13316" max="13316" width="43.42578125" bestFit="1" customWidth="1"/>
    <col min="13317" max="13317" width="12.5703125" customWidth="1"/>
    <col min="13318" max="13318" width="15.140625" customWidth="1"/>
    <col min="13319" max="13319" width="13" customWidth="1"/>
    <col min="13564" max="13564" width="11" bestFit="1" customWidth="1"/>
    <col min="13565" max="13565" width="28.140625" customWidth="1"/>
    <col min="13566" max="13566" width="21.85546875" customWidth="1"/>
    <col min="13567" max="13567" width="12.5703125" customWidth="1"/>
    <col min="13568" max="13568" width="28.140625" customWidth="1"/>
    <col min="13569" max="13569" width="15.85546875" customWidth="1"/>
    <col min="13570" max="13570" width="15.7109375" customWidth="1"/>
    <col min="13571" max="13571" width="19.28515625" customWidth="1"/>
    <col min="13572" max="13572" width="43.42578125" bestFit="1" customWidth="1"/>
    <col min="13573" max="13573" width="12.5703125" customWidth="1"/>
    <col min="13574" max="13574" width="15.140625" customWidth="1"/>
    <col min="13575" max="13575" width="13" customWidth="1"/>
    <col min="13820" max="13820" width="11" bestFit="1" customWidth="1"/>
    <col min="13821" max="13821" width="28.140625" customWidth="1"/>
    <col min="13822" max="13822" width="21.85546875" customWidth="1"/>
    <col min="13823" max="13823" width="12.5703125" customWidth="1"/>
    <col min="13824" max="13824" width="28.140625" customWidth="1"/>
    <col min="13825" max="13825" width="15.85546875" customWidth="1"/>
    <col min="13826" max="13826" width="15.7109375" customWidth="1"/>
    <col min="13827" max="13827" width="19.28515625" customWidth="1"/>
    <col min="13828" max="13828" width="43.42578125" bestFit="1" customWidth="1"/>
    <col min="13829" max="13829" width="12.5703125" customWidth="1"/>
    <col min="13830" max="13830" width="15.140625" customWidth="1"/>
    <col min="13831" max="13831" width="13" customWidth="1"/>
    <col min="14076" max="14076" width="11" bestFit="1" customWidth="1"/>
    <col min="14077" max="14077" width="28.140625" customWidth="1"/>
    <col min="14078" max="14078" width="21.85546875" customWidth="1"/>
    <col min="14079" max="14079" width="12.5703125" customWidth="1"/>
    <col min="14080" max="14080" width="28.140625" customWidth="1"/>
    <col min="14081" max="14081" width="15.85546875" customWidth="1"/>
    <col min="14082" max="14082" width="15.7109375" customWidth="1"/>
    <col min="14083" max="14083" width="19.28515625" customWidth="1"/>
    <col min="14084" max="14084" width="43.42578125" bestFit="1" customWidth="1"/>
    <col min="14085" max="14085" width="12.5703125" customWidth="1"/>
    <col min="14086" max="14086" width="15.140625" customWidth="1"/>
    <col min="14087" max="14087" width="13" customWidth="1"/>
    <col min="14332" max="14332" width="11" bestFit="1" customWidth="1"/>
    <col min="14333" max="14333" width="28.140625" customWidth="1"/>
    <col min="14334" max="14334" width="21.85546875" customWidth="1"/>
    <col min="14335" max="14335" width="12.5703125" customWidth="1"/>
    <col min="14336" max="14336" width="28.140625" customWidth="1"/>
    <col min="14337" max="14337" width="15.85546875" customWidth="1"/>
    <col min="14338" max="14338" width="15.7109375" customWidth="1"/>
    <col min="14339" max="14339" width="19.28515625" customWidth="1"/>
    <col min="14340" max="14340" width="43.42578125" bestFit="1" customWidth="1"/>
    <col min="14341" max="14341" width="12.5703125" customWidth="1"/>
    <col min="14342" max="14342" width="15.140625" customWidth="1"/>
    <col min="14343" max="14343" width="13" customWidth="1"/>
    <col min="14588" max="14588" width="11" bestFit="1" customWidth="1"/>
    <col min="14589" max="14589" width="28.140625" customWidth="1"/>
    <col min="14590" max="14590" width="21.85546875" customWidth="1"/>
    <col min="14591" max="14591" width="12.5703125" customWidth="1"/>
    <col min="14592" max="14592" width="28.140625" customWidth="1"/>
    <col min="14593" max="14593" width="15.85546875" customWidth="1"/>
    <col min="14594" max="14594" width="15.7109375" customWidth="1"/>
    <col min="14595" max="14595" width="19.28515625" customWidth="1"/>
    <col min="14596" max="14596" width="43.42578125" bestFit="1" customWidth="1"/>
    <col min="14597" max="14597" width="12.5703125" customWidth="1"/>
    <col min="14598" max="14598" width="15.140625" customWidth="1"/>
    <col min="14599" max="14599" width="13" customWidth="1"/>
    <col min="14844" max="14844" width="11" bestFit="1" customWidth="1"/>
    <col min="14845" max="14845" width="28.140625" customWidth="1"/>
    <col min="14846" max="14846" width="21.85546875" customWidth="1"/>
    <col min="14847" max="14847" width="12.5703125" customWidth="1"/>
    <col min="14848" max="14848" width="28.140625" customWidth="1"/>
    <col min="14849" max="14849" width="15.85546875" customWidth="1"/>
    <col min="14850" max="14850" width="15.7109375" customWidth="1"/>
    <col min="14851" max="14851" width="19.28515625" customWidth="1"/>
    <col min="14852" max="14852" width="43.42578125" bestFit="1" customWidth="1"/>
    <col min="14853" max="14853" width="12.5703125" customWidth="1"/>
    <col min="14854" max="14854" width="15.140625" customWidth="1"/>
    <col min="14855" max="14855" width="13" customWidth="1"/>
    <col min="15100" max="15100" width="11" bestFit="1" customWidth="1"/>
    <col min="15101" max="15101" width="28.140625" customWidth="1"/>
    <col min="15102" max="15102" width="21.85546875" customWidth="1"/>
    <col min="15103" max="15103" width="12.5703125" customWidth="1"/>
    <col min="15104" max="15104" width="28.140625" customWidth="1"/>
    <col min="15105" max="15105" width="15.85546875" customWidth="1"/>
    <col min="15106" max="15106" width="15.7109375" customWidth="1"/>
    <col min="15107" max="15107" width="19.28515625" customWidth="1"/>
    <col min="15108" max="15108" width="43.42578125" bestFit="1" customWidth="1"/>
    <col min="15109" max="15109" width="12.5703125" customWidth="1"/>
    <col min="15110" max="15110" width="15.140625" customWidth="1"/>
    <col min="15111" max="15111" width="13" customWidth="1"/>
    <col min="15356" max="15356" width="11" bestFit="1" customWidth="1"/>
    <col min="15357" max="15357" width="28.140625" customWidth="1"/>
    <col min="15358" max="15358" width="21.85546875" customWidth="1"/>
    <col min="15359" max="15359" width="12.5703125" customWidth="1"/>
    <col min="15360" max="15360" width="28.140625" customWidth="1"/>
    <col min="15361" max="15361" width="15.85546875" customWidth="1"/>
    <col min="15362" max="15362" width="15.7109375" customWidth="1"/>
    <col min="15363" max="15363" width="19.28515625" customWidth="1"/>
    <col min="15364" max="15364" width="43.42578125" bestFit="1" customWidth="1"/>
    <col min="15365" max="15365" width="12.5703125" customWidth="1"/>
    <col min="15366" max="15366" width="15.140625" customWidth="1"/>
    <col min="15367" max="15367" width="13" customWidth="1"/>
    <col min="15612" max="15612" width="11" bestFit="1" customWidth="1"/>
    <col min="15613" max="15613" width="28.140625" customWidth="1"/>
    <col min="15614" max="15614" width="21.85546875" customWidth="1"/>
    <col min="15615" max="15615" width="12.5703125" customWidth="1"/>
    <col min="15616" max="15616" width="28.140625" customWidth="1"/>
    <col min="15617" max="15617" width="15.85546875" customWidth="1"/>
    <col min="15618" max="15618" width="15.7109375" customWidth="1"/>
    <col min="15619" max="15619" width="19.28515625" customWidth="1"/>
    <col min="15620" max="15620" width="43.42578125" bestFit="1" customWidth="1"/>
    <col min="15621" max="15621" width="12.5703125" customWidth="1"/>
    <col min="15622" max="15622" width="15.140625" customWidth="1"/>
    <col min="15623" max="15623" width="13" customWidth="1"/>
    <col min="15868" max="15868" width="11" bestFit="1" customWidth="1"/>
    <col min="15869" max="15869" width="28.140625" customWidth="1"/>
    <col min="15870" max="15870" width="21.85546875" customWidth="1"/>
    <col min="15871" max="15871" width="12.5703125" customWidth="1"/>
    <col min="15872" max="15872" width="28.140625" customWidth="1"/>
    <col min="15873" max="15873" width="15.85546875" customWidth="1"/>
    <col min="15874" max="15874" width="15.7109375" customWidth="1"/>
    <col min="15875" max="15875" width="19.28515625" customWidth="1"/>
    <col min="15876" max="15876" width="43.42578125" bestFit="1" customWidth="1"/>
    <col min="15877" max="15877" width="12.5703125" customWidth="1"/>
    <col min="15878" max="15878" width="15.140625" customWidth="1"/>
    <col min="15879" max="15879" width="13" customWidth="1"/>
    <col min="16124" max="16124" width="11" bestFit="1" customWidth="1"/>
    <col min="16125" max="16125" width="28.140625" customWidth="1"/>
    <col min="16126" max="16126" width="21.85546875" customWidth="1"/>
    <col min="16127" max="16127" width="12.5703125" customWidth="1"/>
    <col min="16128" max="16128" width="28.140625" customWidth="1"/>
    <col min="16129" max="16129" width="15.85546875" customWidth="1"/>
    <col min="16130" max="16130" width="15.7109375" customWidth="1"/>
    <col min="16131" max="16131" width="19.28515625" customWidth="1"/>
    <col min="16132" max="16132" width="43.42578125" bestFit="1" customWidth="1"/>
    <col min="16133" max="16133" width="12.5703125" customWidth="1"/>
    <col min="16134" max="16134" width="15.140625" customWidth="1"/>
    <col min="16135" max="16135" width="13" customWidth="1"/>
  </cols>
  <sheetData>
    <row r="1" spans="1:60" ht="51.75" customHeight="1" x14ac:dyDescent="0.25">
      <c r="A1" s="169" t="s">
        <v>371</v>
      </c>
      <c r="B1" s="170"/>
      <c r="C1" s="129" t="s">
        <v>436</v>
      </c>
      <c r="D1" s="130" t="s">
        <v>450</v>
      </c>
      <c r="F1" s="169" t="s">
        <v>372</v>
      </c>
      <c r="G1" s="170"/>
    </row>
    <row r="2" spans="1:60" s="80" customFormat="1" x14ac:dyDescent="0.25">
      <c r="A2" s="111" t="s">
        <v>0</v>
      </c>
      <c r="B2" s="111" t="s">
        <v>373</v>
      </c>
      <c r="C2" s="126"/>
      <c r="D2" s="127"/>
      <c r="F2" s="111" t="s">
        <v>0</v>
      </c>
      <c r="G2" s="111" t="s">
        <v>373</v>
      </c>
    </row>
    <row r="3" spans="1:60" s="114" customFormat="1" ht="17.25" customHeight="1" x14ac:dyDescent="0.25">
      <c r="A3" s="171" t="s">
        <v>1</v>
      </c>
      <c r="B3" s="112" t="s">
        <v>2</v>
      </c>
      <c r="C3" s="112" t="s">
        <v>440</v>
      </c>
      <c r="D3" s="112"/>
      <c r="E3"/>
      <c r="F3" s="168" t="s">
        <v>374</v>
      </c>
      <c r="G3" s="113" t="s">
        <v>375</v>
      </c>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s="114" customFormat="1" ht="38.25" x14ac:dyDescent="0.25">
      <c r="A4" s="171"/>
      <c r="B4" s="112" t="s">
        <v>376</v>
      </c>
      <c r="C4" s="112" t="s">
        <v>440</v>
      </c>
      <c r="D4" s="112" t="s">
        <v>453</v>
      </c>
      <c r="E4"/>
      <c r="F4" s="168"/>
      <c r="G4" s="113" t="s">
        <v>377</v>
      </c>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114" customFormat="1" ht="38.25" x14ac:dyDescent="0.25">
      <c r="A5" s="171"/>
      <c r="B5" s="112" t="s">
        <v>378</v>
      </c>
      <c r="C5" s="112" t="s">
        <v>440</v>
      </c>
      <c r="D5" s="112" t="s">
        <v>452</v>
      </c>
      <c r="E5"/>
      <c r="F5" s="168" t="s">
        <v>14</v>
      </c>
      <c r="G5" s="113" t="s">
        <v>379</v>
      </c>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s="114" customFormat="1" ht="38.25" x14ac:dyDescent="0.25">
      <c r="A6" s="171"/>
      <c r="B6" s="112" t="s">
        <v>380</v>
      </c>
      <c r="C6" s="112" t="s">
        <v>440</v>
      </c>
      <c r="D6" s="112" t="s">
        <v>451</v>
      </c>
      <c r="E6"/>
      <c r="F6" s="168"/>
      <c r="G6" s="113" t="s">
        <v>381</v>
      </c>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row>
    <row r="7" spans="1:60" s="114" customFormat="1" x14ac:dyDescent="0.25">
      <c r="A7" s="171"/>
      <c r="B7" s="112" t="s">
        <v>382</v>
      </c>
      <c r="C7" s="112" t="s">
        <v>440</v>
      </c>
      <c r="D7" s="112"/>
      <c r="E7"/>
      <c r="F7" s="168"/>
      <c r="G7" s="113" t="s">
        <v>383</v>
      </c>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row>
    <row r="8" spans="1:60" s="114" customFormat="1" x14ac:dyDescent="0.25">
      <c r="A8" s="171"/>
      <c r="B8" s="112" t="s">
        <v>384</v>
      </c>
      <c r="C8" s="112" t="s">
        <v>438</v>
      </c>
      <c r="D8" s="118" t="s">
        <v>458</v>
      </c>
      <c r="E8"/>
      <c r="F8" s="168"/>
      <c r="G8" s="113" t="s">
        <v>385</v>
      </c>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row>
    <row r="9" spans="1:60" s="114" customFormat="1" x14ac:dyDescent="0.25">
      <c r="A9" s="171" t="s">
        <v>5</v>
      </c>
      <c r="B9" s="112" t="s">
        <v>386</v>
      </c>
      <c r="C9" s="112" t="s">
        <v>440</v>
      </c>
      <c r="D9" s="112"/>
      <c r="E9"/>
      <c r="F9" s="168"/>
      <c r="G9" s="115" t="s">
        <v>387</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row>
    <row r="10" spans="1:60" s="114" customFormat="1" x14ac:dyDescent="0.25">
      <c r="A10" s="171"/>
      <c r="B10" s="112" t="s">
        <v>389</v>
      </c>
      <c r="C10" s="112" t="s">
        <v>440</v>
      </c>
      <c r="D10" s="112"/>
      <c r="E10"/>
      <c r="F10" s="122" t="s">
        <v>14</v>
      </c>
      <c r="G10" s="123" t="s">
        <v>433</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row>
    <row r="11" spans="1:60" s="114" customFormat="1" x14ac:dyDescent="0.25">
      <c r="A11" s="171"/>
      <c r="B11" s="112" t="s">
        <v>390</v>
      </c>
      <c r="C11" s="112" t="s">
        <v>440</v>
      </c>
      <c r="D11" s="112"/>
      <c r="E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row>
    <row r="12" spans="1:60" s="114" customFormat="1" x14ac:dyDescent="0.25">
      <c r="A12" s="171"/>
      <c r="B12" s="112" t="s">
        <v>393</v>
      </c>
      <c r="C12" s="112" t="s">
        <v>440</v>
      </c>
      <c r="D12" s="112"/>
      <c r="E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row>
    <row r="13" spans="1:60" s="114" customFormat="1" x14ac:dyDescent="0.25">
      <c r="A13" s="171"/>
      <c r="B13" s="112" t="s">
        <v>394</v>
      </c>
      <c r="C13" s="112" t="s">
        <v>440</v>
      </c>
      <c r="D13" s="112"/>
      <c r="E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row>
    <row r="14" spans="1:60" s="114" customFormat="1" ht="13.5" customHeight="1" x14ac:dyDescent="0.25">
      <c r="A14" s="171"/>
      <c r="B14" s="112" t="s">
        <v>395</v>
      </c>
      <c r="C14" s="112" t="s">
        <v>440</v>
      </c>
      <c r="D14" s="112"/>
      <c r="E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row>
    <row r="15" spans="1:60" s="114" customFormat="1" x14ac:dyDescent="0.25">
      <c r="A15" s="171"/>
      <c r="B15" s="112" t="s">
        <v>396</v>
      </c>
      <c r="C15" s="112" t="s">
        <v>437</v>
      </c>
      <c r="D15" s="118" t="s">
        <v>458</v>
      </c>
      <c r="E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row>
    <row r="16" spans="1:60" s="114" customFormat="1" x14ac:dyDescent="0.25">
      <c r="A16" s="171"/>
      <c r="B16" s="112" t="s">
        <v>397</v>
      </c>
      <c r="C16" s="112" t="s">
        <v>437</v>
      </c>
      <c r="D16" s="118" t="s">
        <v>458</v>
      </c>
      <c r="E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row>
    <row r="17" spans="1:60" s="114" customFormat="1" ht="25.5" x14ac:dyDescent="0.25">
      <c r="A17" s="117" t="s">
        <v>12</v>
      </c>
      <c r="B17" s="118" t="s">
        <v>398</v>
      </c>
      <c r="C17" s="118" t="s">
        <v>439</v>
      </c>
      <c r="D17" s="118"/>
      <c r="E17"/>
      <c r="H17"/>
      <c r="I17"/>
      <c r="J17">
        <f>2204*0.44</f>
        <v>969.76</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row>
    <row r="18" spans="1:60" s="114" customFormat="1" x14ac:dyDescent="0.25">
      <c r="A18" s="117" t="s">
        <v>399</v>
      </c>
      <c r="B18" s="113" t="s">
        <v>400</v>
      </c>
      <c r="C18" s="113" t="s">
        <v>440</v>
      </c>
      <c r="D18" s="113"/>
      <c r="E18"/>
      <c r="H18"/>
      <c r="I18"/>
      <c r="J18">
        <f>J17+50</f>
        <v>1019.76</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row>
    <row r="19" spans="1:60" s="114" customFormat="1" ht="25.5" x14ac:dyDescent="0.25">
      <c r="A19" s="171" t="s">
        <v>14</v>
      </c>
      <c r="B19" s="112" t="s">
        <v>401</v>
      </c>
      <c r="C19" s="113" t="s">
        <v>440</v>
      </c>
      <c r="D19" s="113" t="s">
        <v>454</v>
      </c>
      <c r="E19"/>
      <c r="F19" s="116" t="s">
        <v>94</v>
      </c>
      <c r="G19" s="113" t="s">
        <v>94</v>
      </c>
      <c r="H19"/>
      <c r="I19"/>
      <c r="J19">
        <f>1100</f>
        <v>1100</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row>
    <row r="20" spans="1:60" s="114" customFormat="1" x14ac:dyDescent="0.25">
      <c r="A20" s="171"/>
      <c r="B20" s="112" t="s">
        <v>402</v>
      </c>
      <c r="C20" s="113" t="s">
        <v>440</v>
      </c>
      <c r="D20" s="113"/>
      <c r="E20"/>
      <c r="F20" s="116" t="s">
        <v>1</v>
      </c>
      <c r="G20" s="113" t="s">
        <v>290</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row>
    <row r="21" spans="1:60" s="114" customFormat="1" x14ac:dyDescent="0.25">
      <c r="A21" s="171"/>
      <c r="B21" s="112" t="s">
        <v>403</v>
      </c>
      <c r="C21" s="112" t="s">
        <v>437</v>
      </c>
      <c r="D21" s="118" t="s">
        <v>458</v>
      </c>
      <c r="E21"/>
      <c r="F21" s="116" t="s">
        <v>391</v>
      </c>
      <c r="G21" s="113" t="s">
        <v>392</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row>
    <row r="22" spans="1:60" x14ac:dyDescent="0.25">
      <c r="A22" s="172" t="s">
        <v>126</v>
      </c>
      <c r="B22" s="118" t="s">
        <v>50</v>
      </c>
      <c r="C22" s="118" t="s">
        <v>440</v>
      </c>
      <c r="D22" s="118"/>
      <c r="F22" s="122" t="s">
        <v>423</v>
      </c>
      <c r="G22" s="123" t="s">
        <v>424</v>
      </c>
    </row>
    <row r="23" spans="1:60" ht="25.5" x14ac:dyDescent="0.25">
      <c r="A23" s="172"/>
      <c r="B23" s="118" t="s">
        <v>404</v>
      </c>
      <c r="C23" s="118" t="s">
        <v>440</v>
      </c>
      <c r="D23" s="118" t="s">
        <v>457</v>
      </c>
    </row>
    <row r="24" spans="1:60" x14ac:dyDescent="0.25">
      <c r="A24" s="172"/>
      <c r="B24" s="118" t="s">
        <v>405</v>
      </c>
      <c r="C24" s="118" t="s">
        <v>440</v>
      </c>
      <c r="D24" s="118" t="s">
        <v>456</v>
      </c>
    </row>
    <row r="25" spans="1:60" x14ac:dyDescent="0.25">
      <c r="A25" s="172"/>
      <c r="B25" s="118" t="s">
        <v>406</v>
      </c>
      <c r="C25" s="118" t="s">
        <v>448</v>
      </c>
      <c r="D25" s="118"/>
    </row>
    <row r="26" spans="1:60" x14ac:dyDescent="0.25">
      <c r="A26" s="172"/>
      <c r="B26" s="119" t="s">
        <v>407</v>
      </c>
      <c r="C26" s="128" t="s">
        <v>448</v>
      </c>
      <c r="D26" s="128"/>
    </row>
    <row r="27" spans="1:60" ht="38.25" x14ac:dyDescent="0.25">
      <c r="A27" s="172" t="s">
        <v>15</v>
      </c>
      <c r="B27" s="118" t="s">
        <v>408</v>
      </c>
      <c r="C27" s="118" t="s">
        <v>442</v>
      </c>
      <c r="D27" s="118"/>
      <c r="F27" s="124" t="s">
        <v>425</v>
      </c>
      <c r="G27" s="125" t="s">
        <v>428</v>
      </c>
    </row>
    <row r="28" spans="1:60" ht="51" x14ac:dyDescent="0.25">
      <c r="A28" s="172"/>
      <c r="B28" s="118" t="s">
        <v>409</v>
      </c>
      <c r="C28" s="118" t="s">
        <v>442</v>
      </c>
      <c r="D28" s="118"/>
      <c r="F28" s="124" t="s">
        <v>425</v>
      </c>
      <c r="G28" s="125" t="s">
        <v>427</v>
      </c>
    </row>
    <row r="29" spans="1:60" ht="38.25" x14ac:dyDescent="0.25">
      <c r="A29" s="172"/>
      <c r="B29" s="118" t="s">
        <v>410</v>
      </c>
      <c r="C29" s="118" t="s">
        <v>443</v>
      </c>
      <c r="D29" s="118"/>
      <c r="F29" s="124" t="s">
        <v>425</v>
      </c>
      <c r="G29" s="125" t="s">
        <v>426</v>
      </c>
    </row>
    <row r="30" spans="1:60" ht="51" x14ac:dyDescent="0.25">
      <c r="A30" s="172"/>
      <c r="B30" s="118" t="s">
        <v>411</v>
      </c>
      <c r="C30" s="118" t="s">
        <v>443</v>
      </c>
      <c r="D30" s="118"/>
      <c r="F30" s="124" t="s">
        <v>429</v>
      </c>
      <c r="G30" s="125" t="s">
        <v>430</v>
      </c>
    </row>
    <row r="31" spans="1:60" ht="25.5" x14ac:dyDescent="0.25">
      <c r="A31" s="172"/>
      <c r="B31" s="118" t="s">
        <v>412</v>
      </c>
      <c r="C31" s="118" t="s">
        <v>444</v>
      </c>
      <c r="D31" s="118"/>
      <c r="F31" s="124" t="s">
        <v>429</v>
      </c>
      <c r="G31" s="125" t="s">
        <v>431</v>
      </c>
    </row>
    <row r="32" spans="1:60" ht="25.5" x14ac:dyDescent="0.25">
      <c r="A32" s="172"/>
      <c r="B32" s="118" t="s">
        <v>413</v>
      </c>
      <c r="C32" s="118" t="s">
        <v>449</v>
      </c>
      <c r="D32" s="118" t="s">
        <v>458</v>
      </c>
      <c r="F32" s="124" t="s">
        <v>429</v>
      </c>
      <c r="G32" s="125" t="s">
        <v>432</v>
      </c>
    </row>
    <row r="33" spans="1:7" ht="51" x14ac:dyDescent="0.25">
      <c r="A33" s="172"/>
      <c r="B33" s="118" t="s">
        <v>28</v>
      </c>
      <c r="C33" s="118" t="s">
        <v>449</v>
      </c>
      <c r="D33" s="118" t="s">
        <v>458</v>
      </c>
      <c r="F33" s="168" t="s">
        <v>374</v>
      </c>
      <c r="G33" s="125" t="s">
        <v>441</v>
      </c>
    </row>
    <row r="34" spans="1:7" x14ac:dyDescent="0.25">
      <c r="A34" s="172" t="s">
        <v>16</v>
      </c>
      <c r="B34" s="118" t="s">
        <v>414</v>
      </c>
      <c r="C34" s="118" t="s">
        <v>445</v>
      </c>
      <c r="D34" s="173" t="s">
        <v>455</v>
      </c>
      <c r="F34" s="168"/>
      <c r="G34" s="125"/>
    </row>
    <row r="35" spans="1:7" x14ac:dyDescent="0.25">
      <c r="A35" s="172"/>
      <c r="B35" s="118" t="s">
        <v>415</v>
      </c>
      <c r="C35" s="118" t="s">
        <v>445</v>
      </c>
      <c r="D35" s="174"/>
      <c r="F35" s="168" t="s">
        <v>374</v>
      </c>
      <c r="G35" s="125"/>
    </row>
    <row r="36" spans="1:7" x14ac:dyDescent="0.25">
      <c r="A36" s="172"/>
      <c r="B36" s="118" t="s">
        <v>31</v>
      </c>
      <c r="C36" s="118" t="s">
        <v>445</v>
      </c>
      <c r="D36" s="174"/>
      <c r="F36" s="168"/>
      <c r="G36" s="125"/>
    </row>
    <row r="37" spans="1:7" x14ac:dyDescent="0.25">
      <c r="A37" s="172"/>
      <c r="B37" s="112" t="s">
        <v>416</v>
      </c>
      <c r="C37" s="118" t="s">
        <v>445</v>
      </c>
      <c r="D37" s="174"/>
      <c r="G37" s="125"/>
    </row>
    <row r="38" spans="1:7" x14ac:dyDescent="0.25">
      <c r="A38" s="172"/>
      <c r="B38" s="118" t="s">
        <v>417</v>
      </c>
      <c r="C38" s="118" t="s">
        <v>445</v>
      </c>
      <c r="D38" s="175"/>
      <c r="G38" s="125"/>
    </row>
    <row r="39" spans="1:7" ht="25.5" x14ac:dyDescent="0.25">
      <c r="A39" s="173" t="s">
        <v>94</v>
      </c>
      <c r="B39" s="118" t="s">
        <v>418</v>
      </c>
      <c r="C39" s="118" t="s">
        <v>446</v>
      </c>
      <c r="D39" s="118"/>
      <c r="G39" s="125"/>
    </row>
    <row r="40" spans="1:7" ht="25.5" x14ac:dyDescent="0.25">
      <c r="A40" s="174"/>
      <c r="B40" s="118" t="s">
        <v>419</v>
      </c>
      <c r="C40" s="118" t="s">
        <v>446</v>
      </c>
      <c r="D40" s="118"/>
      <c r="F40" t="s">
        <v>434</v>
      </c>
      <c r="G40" s="125" t="s">
        <v>435</v>
      </c>
    </row>
    <row r="41" spans="1:7" ht="25.5" x14ac:dyDescent="0.25">
      <c r="A41" s="174"/>
      <c r="B41" s="118" t="s">
        <v>420</v>
      </c>
      <c r="C41" s="118" t="s">
        <v>446</v>
      </c>
      <c r="D41" s="118"/>
      <c r="G41" s="125"/>
    </row>
    <row r="42" spans="1:7" ht="25.5" x14ac:dyDescent="0.25">
      <c r="A42" s="174"/>
      <c r="B42" s="118" t="s">
        <v>419</v>
      </c>
      <c r="C42" s="118" t="s">
        <v>446</v>
      </c>
      <c r="D42" s="118"/>
      <c r="G42" s="125"/>
    </row>
    <row r="43" spans="1:7" x14ac:dyDescent="0.25">
      <c r="A43" s="168" t="s">
        <v>421</v>
      </c>
      <c r="B43" s="118" t="s">
        <v>384</v>
      </c>
      <c r="C43" s="118"/>
      <c r="D43" s="118"/>
      <c r="G43" s="125"/>
    </row>
    <row r="44" spans="1:7" x14ac:dyDescent="0.25">
      <c r="A44" s="168"/>
      <c r="B44" s="118" t="s">
        <v>12</v>
      </c>
      <c r="C44" s="118"/>
      <c r="D44" s="118"/>
      <c r="G44" s="125"/>
    </row>
    <row r="45" spans="1:7" x14ac:dyDescent="0.25">
      <c r="A45" s="168"/>
      <c r="B45" s="118" t="s">
        <v>13</v>
      </c>
      <c r="C45" s="118"/>
      <c r="D45" s="118"/>
      <c r="G45" s="125"/>
    </row>
    <row r="46" spans="1:7" x14ac:dyDescent="0.25">
      <c r="A46" s="168"/>
      <c r="B46" s="118" t="s">
        <v>14</v>
      </c>
      <c r="C46" s="118"/>
      <c r="D46" s="118"/>
      <c r="G46" s="125"/>
    </row>
    <row r="47" spans="1:7" x14ac:dyDescent="0.25">
      <c r="A47" s="168"/>
      <c r="B47" s="118" t="s">
        <v>422</v>
      </c>
      <c r="C47" s="118" t="s">
        <v>447</v>
      </c>
      <c r="D47" s="118"/>
      <c r="G47" s="125"/>
    </row>
    <row r="48" spans="1:7" x14ac:dyDescent="0.25">
      <c r="A48" s="168"/>
      <c r="B48" s="118" t="s">
        <v>404</v>
      </c>
      <c r="C48" s="118"/>
      <c r="D48" s="118"/>
      <c r="G48" s="125"/>
    </row>
    <row r="49" spans="1:7" x14ac:dyDescent="0.25">
      <c r="A49" s="168"/>
      <c r="B49" s="118" t="s">
        <v>405</v>
      </c>
      <c r="C49" s="118"/>
      <c r="D49" s="118"/>
      <c r="G49" s="125"/>
    </row>
    <row r="50" spans="1:7" x14ac:dyDescent="0.25">
      <c r="A50" s="168"/>
      <c r="B50" s="118" t="s">
        <v>406</v>
      </c>
      <c r="C50" s="118"/>
      <c r="D50" s="118"/>
      <c r="G50" s="125"/>
    </row>
    <row r="51" spans="1:7" x14ac:dyDescent="0.25">
      <c r="A51" s="168"/>
      <c r="B51" s="118" t="s">
        <v>19</v>
      </c>
      <c r="C51" s="118"/>
      <c r="D51" s="118"/>
      <c r="G51" s="125"/>
    </row>
    <row r="52" spans="1:7" x14ac:dyDescent="0.25">
      <c r="A52" s="168"/>
      <c r="B52" s="118" t="s">
        <v>17</v>
      </c>
      <c r="C52" s="118"/>
      <c r="D52" s="118"/>
      <c r="G52" s="125"/>
    </row>
    <row r="53" spans="1:7" x14ac:dyDescent="0.25">
      <c r="A53" s="168"/>
      <c r="B53" s="118" t="s">
        <v>18</v>
      </c>
      <c r="C53" s="118"/>
      <c r="D53" s="118"/>
      <c r="G53" s="125"/>
    </row>
    <row r="54" spans="1:7" x14ac:dyDescent="0.25">
      <c r="A54" s="168"/>
      <c r="B54" s="118" t="s">
        <v>31</v>
      </c>
      <c r="C54" s="118"/>
      <c r="D54" s="118"/>
    </row>
    <row r="55" spans="1:7" x14ac:dyDescent="0.25">
      <c r="G55" s="121"/>
    </row>
  </sheetData>
  <mergeCells count="15">
    <mergeCell ref="A39:A42"/>
    <mergeCell ref="A43:A54"/>
    <mergeCell ref="A1:B1"/>
    <mergeCell ref="F1:G1"/>
    <mergeCell ref="A3:A8"/>
    <mergeCell ref="F3:F4"/>
    <mergeCell ref="F5:F9"/>
    <mergeCell ref="A9:A16"/>
    <mergeCell ref="F33:F34"/>
    <mergeCell ref="F35:F36"/>
    <mergeCell ref="A19:A21"/>
    <mergeCell ref="A22:A26"/>
    <mergeCell ref="A27:A33"/>
    <mergeCell ref="A34:A38"/>
    <mergeCell ref="D34:D38"/>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zoomScale="85" zoomScaleNormal="85" workbookViewId="0">
      <pane xSplit="2" ySplit="2" topLeftCell="C3" activePane="bottomRight" state="frozen"/>
      <selection pane="topRight" activeCell="C1" sqref="C1"/>
      <selection pane="bottomLeft" activeCell="A5" sqref="A5"/>
      <selection pane="bottomRight" activeCell="H4" sqref="H4"/>
    </sheetView>
  </sheetViews>
  <sheetFormatPr defaultColWidth="8.85546875" defaultRowHeight="15" x14ac:dyDescent="0.25"/>
  <cols>
    <col min="1" max="1" width="8.85546875" style="1"/>
    <col min="2" max="2" width="32" style="1" customWidth="1"/>
    <col min="3" max="3" width="46.140625" style="1" customWidth="1"/>
    <col min="4" max="4" width="29" style="1" customWidth="1"/>
    <col min="5" max="7" width="16.140625" style="1" customWidth="1"/>
    <col min="8" max="9" width="19.42578125" style="1" customWidth="1"/>
    <col min="10" max="16384" width="8.85546875" style="1"/>
  </cols>
  <sheetData>
    <row r="1" spans="1:9" ht="39" customHeight="1" x14ac:dyDescent="0.25">
      <c r="A1" s="159" t="s">
        <v>216</v>
      </c>
      <c r="B1" s="143"/>
      <c r="C1" s="143"/>
      <c r="D1" s="143"/>
      <c r="E1" s="143"/>
      <c r="F1" s="143"/>
      <c r="G1" s="143"/>
      <c r="H1" s="143"/>
    </row>
    <row r="2" spans="1:9" ht="45" customHeight="1" x14ac:dyDescent="0.25">
      <c r="A2" s="2" t="s">
        <v>61</v>
      </c>
      <c r="B2" s="2" t="s">
        <v>62</v>
      </c>
      <c r="C2" s="2" t="s">
        <v>83</v>
      </c>
      <c r="D2" s="2" t="s">
        <v>71</v>
      </c>
      <c r="E2" s="2" t="s">
        <v>72</v>
      </c>
      <c r="F2" s="2" t="s">
        <v>84</v>
      </c>
      <c r="G2" s="2" t="s">
        <v>86</v>
      </c>
      <c r="H2" s="2" t="s">
        <v>106</v>
      </c>
      <c r="I2" s="2" t="s">
        <v>107</v>
      </c>
    </row>
    <row r="3" spans="1:9" ht="45" x14ac:dyDescent="0.25">
      <c r="A3" s="18">
        <v>1</v>
      </c>
      <c r="B3" s="9" t="s">
        <v>63</v>
      </c>
      <c r="C3" s="3" t="s">
        <v>217</v>
      </c>
      <c r="D3" s="9"/>
      <c r="E3" s="3" t="s">
        <v>218</v>
      </c>
      <c r="F3" s="3"/>
      <c r="G3" s="3"/>
      <c r="H3" s="8">
        <v>43479</v>
      </c>
      <c r="I3" s="8"/>
    </row>
  </sheetData>
  <autoFilter ref="A2:I3"/>
  <mergeCells count="1">
    <mergeCell ref="A1:H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E18" sqref="E18"/>
    </sheetView>
  </sheetViews>
  <sheetFormatPr defaultRowHeight="15" x14ac:dyDescent="0.25"/>
  <cols>
    <col min="2" max="2" width="40" customWidth="1"/>
  </cols>
  <sheetData>
    <row r="1" spans="1:3" x14ac:dyDescent="0.25">
      <c r="A1" t="s">
        <v>291</v>
      </c>
      <c r="B1" t="s">
        <v>295</v>
      </c>
      <c r="C1" t="s">
        <v>291</v>
      </c>
    </row>
    <row r="2" spans="1:3" x14ac:dyDescent="0.25">
      <c r="A2" t="s">
        <v>292</v>
      </c>
      <c r="B2" s="81" t="s">
        <v>297</v>
      </c>
      <c r="C2" t="s">
        <v>300</v>
      </c>
    </row>
    <row r="3" spans="1:3" x14ac:dyDescent="0.25">
      <c r="A3" t="s">
        <v>294</v>
      </c>
      <c r="B3" s="81" t="s">
        <v>299</v>
      </c>
      <c r="C3" t="s">
        <v>294</v>
      </c>
    </row>
    <row r="4" spans="1:3" x14ac:dyDescent="0.25">
      <c r="A4" t="s">
        <v>293</v>
      </c>
      <c r="B4" t="s">
        <v>296</v>
      </c>
      <c r="C4" t="s">
        <v>291</v>
      </c>
    </row>
    <row r="5" spans="1:3" x14ac:dyDescent="0.25">
      <c r="A5" t="s">
        <v>163</v>
      </c>
      <c r="B5" s="80" t="s">
        <v>298</v>
      </c>
      <c r="C5"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SC-ATT online</vt:lpstr>
      <vt:lpstr>Giai đoạn 1</vt:lpstr>
      <vt:lpstr>Giai đoạn 1-Convert dữ liệu</vt:lpstr>
      <vt:lpstr>Giai đoạn1-ATT</vt:lpstr>
      <vt:lpstr>Giai đoạn1-ATZ</vt:lpstr>
      <vt:lpstr>Giai đoạn 2</vt:lpstr>
      <vt:lpstr>Giai đoạn 2 (1-4)</vt:lpstr>
      <vt:lpstr>Chức năng GD1&amp;2</vt:lpstr>
      <vt:lpstr>CHECK GD1&amp; yêu cầu GĐ2</vt:lpstr>
      <vt:lpstr>Giai đoạn 3</vt:lpstr>
      <vt:lpstr>DSNS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2019-03-28T09:20:38Z</dcterms:modified>
</cp:coreProperties>
</file>